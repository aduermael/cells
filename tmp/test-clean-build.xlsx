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BO-60-Minutes" sheetId="1" r:id="rId1"/>
  </sheets>
  <definedNames>
    <definedName name="Units">LBO-60-Minutes!$D$16</definedName>
    <definedName name="Min_Cash">LBO-60-Minutes!$K$7</definedName>
    <definedName name="Sponsor_Equity">LBO-60-Minutes!$D$28</definedName>
    <definedName name="Mgmt_Option_Pool">LBO-60-Minutes!$K$17</definedName>
    <definedName name="Purchase_Multiple">LBO-60-Minutes!$K$15</definedName>
    <definedName name="Mezz_Investment">LBO-60-Minutes!$D$26</definedName>
    <definedName name="Company_Name">LBO-60-Minutes!$D$7</definedName>
    <definedName name="Hist_Year">LBO-60-Minutes!$D$15</definedName>
    <definedName name="Mezz_Equity_Pct">LBO-60-Minutes!$I$38</definedName>
    <definedName name="LTM_EBITDA">LBO-60-Minutes!$K$8</definedName>
  </definedNames>
</workbook>
</file>

<file path=xl/sharedStrings.xml><?xml version="1.0" encoding="utf-8"?>
<sst xmlns="http://schemas.openxmlformats.org/spreadsheetml/2006/main" count="164" uniqueCount="164">
  <si>
    <t>(Amounts in $ USD Millions Unless Otherwise Stated)</t>
  </si>
  <si>
    <t>General Assumptions:</t>
  </si>
  <si>
    <t>Company Name:</t>
  </si>
  <si>
    <t>Diana Shipping Inc.</t>
  </si>
  <si>
    <t>Minimum Cash Balance:</t>
  </si>
  <si>
    <t>Ticker:</t>
  </si>
  <si>
    <t>DSX</t>
  </si>
  <si>
    <t>LTM EBITDA:</t>
  </si>
  <si>
    <t>Share Price:</t>
  </si>
  <si>
    <t>Purchase Equity Value:</t>
  </si>
  <si>
    <t>Premium Paid to Target's Share Price:</t>
  </si>
  <si>
    <t>(-) Cash:</t>
  </si>
  <si>
    <t>Offer Price per Share:</t>
  </si>
  <si>
    <t>(+) Debt:</t>
  </si>
  <si>
    <t>Diluted Share Count:</t>
  </si>
  <si>
    <t>Purchase Enterprise Value:</t>
  </si>
  <si>
    <t>Last Historical Year:</t>
  </si>
  <si>
    <t>Purchase EV / EBITDA Multiple:</t>
  </si>
  <si>
    <t>Units:</t>
  </si>
  <si>
    <t>Management Option Pool:</t>
  </si>
  <si>
    <t>Prepayment Penalty on Existing Debt:</t>
  </si>
  <si>
    <t>Sources &amp; Uses Schedule:</t>
  </si>
  <si>
    <t>Sources of Funds:</t>
  </si>
  <si>
    <t>$ M</t>
  </si>
  <si>
    <t>x EBITDA</t>
  </si>
  <si>
    <t>% Sources</t>
  </si>
  <si>
    <t>Uses of Funds:</t>
  </si>
  <si>
    <t>Revolver:</t>
  </si>
  <si>
    <t>Term Loans:</t>
  </si>
  <si>
    <t>Refinance Existing Debt:</t>
  </si>
  <si>
    <t>Subordinated Notes:</t>
  </si>
  <si>
    <t>Mezzanine:</t>
  </si>
  <si>
    <t>Transaction Fees:</t>
  </si>
  <si>
    <t>Excess Cash:</t>
  </si>
  <si>
    <t>Total Uses:</t>
  </si>
  <si>
    <t>Equity:</t>
  </si>
  <si>
    <t>Total Sources:</t>
  </si>
  <si>
    <t>Debt and Cash Assumptions:</t>
  </si>
  <si>
    <t>LIBOR</t>
  </si>
  <si>
    <t>Fixed</t>
  </si>
  <si>
    <t>PIK</t>
  </si>
  <si>
    <t>Annual</t>
  </si>
  <si>
    <t>Tranche Name:</t>
  </si>
  <si>
    <t>Floor:</t>
  </si>
  <si>
    <t>Spread:</t>
  </si>
  <si>
    <t>Rate:</t>
  </si>
  <si>
    <t>Margin:</t>
  </si>
  <si>
    <t>Amortization:</t>
  </si>
  <si>
    <t>Equity %:</t>
  </si>
  <si>
    <t>Cash:</t>
  </si>
  <si>
    <t>Historical</t>
  </si>
  <si>
    <t>Projected</t>
  </si>
  <si>
    <t>Revenue, Expenses, and Cash Flow:</t>
  </si>
  <si>
    <t>Days in Year:</t>
  </si>
  <si>
    <t># Days</t>
  </si>
  <si>
    <t>Average Number of Vessels:</t>
  </si>
  <si>
    <t># Vessels</t>
  </si>
  <si>
    <t># Vessels at Year End:</t>
  </si>
  <si>
    <t>Ownership Days:</t>
  </si>
  <si>
    <t>Available Days:</t>
  </si>
  <si>
    <t>% Ownership Days:</t>
  </si>
  <si>
    <t>%</t>
  </si>
  <si>
    <t>Time Charter Equivalent (TCE) Rate:</t>
  </si>
  <si>
    <t>$ / Day</t>
  </si>
  <si>
    <t>Growth Rate:</t>
  </si>
  <si>
    <t>CapEx per New Vessel:</t>
  </si>
  <si>
    <t>CapEx % Sales:</t>
  </si>
  <si>
    <t>Voyage Expenses per Vessel:</t>
  </si>
  <si>
    <t>Vessel Operating Expenses per Vessel:</t>
  </si>
  <si>
    <t>D&amp;A per Vessel:</t>
  </si>
  <si>
    <t>G&amp;A Expenses % Sales:</t>
  </si>
  <si>
    <t>Income Statement:</t>
  </si>
  <si>
    <t>Time Charter Revenues:</t>
  </si>
  <si>
    <t>(-) Voyage Expenses:</t>
  </si>
  <si>
    <t>Time Charter Equivalent Revenues:</t>
  </si>
  <si>
    <t>TCE Revenue Growth:</t>
  </si>
  <si>
    <t>Other Revenue:</t>
  </si>
  <si>
    <t>Vessel Operating Expenses:</t>
  </si>
  <si>
    <t>Depreciation &amp; Amortization:</t>
  </si>
  <si>
    <t>General &amp; Administrative Expenses:</t>
  </si>
  <si>
    <t>Other:</t>
  </si>
  <si>
    <t>Total Operating Expenses:</t>
  </si>
  <si>
    <t>Operating Income / (Loss):</t>
  </si>
  <si>
    <t>Interest Expense:</t>
  </si>
  <si>
    <t>Interest Income:</t>
  </si>
  <si>
    <t>Net Interest Income / (Expense):</t>
  </si>
  <si>
    <t>Net Income / (Loss):</t>
  </si>
  <si>
    <t>Working Capital Calculations:</t>
  </si>
  <si>
    <t>Accounts Receivable:</t>
  </si>
  <si>
    <t>Days Receivable:</t>
  </si>
  <si>
    <t>% Time Charter Revenues: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</si>
  <si>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</si>
  <si>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</si>
  <si>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</si>
  <si>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</si>
  <si>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</si>
  <si>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</si>
  <si>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</si>
  <si>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</si>
  <si>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Change in NWC % Change in Revenue:</t>
  </si>
  <si>
    <t>Cash Flow Projections:</t>
  </si>
  <si>
    <t>EBITDA:</t>
  </si>
  <si>
    <t>(-) Capital Expenditures:</t>
  </si>
  <si>
    <t>(+/-) Change in Working Capital:</t>
  </si>
  <si>
    <t>(-) Cash Interest Expense:</t>
  </si>
  <si>
    <t>(+) Cash Interest Income:</t>
  </si>
  <si>
    <t>Free Cash Flow (FCF):</t>
  </si>
  <si>
    <t>Cash - Beginning of Period:</t>
  </si>
  <si>
    <t>(+) Free Cash Flow:</t>
  </si>
  <si>
    <t>(+) Debt Drawdown / (-) Repayment:</t>
  </si>
  <si>
    <t>Cash - End of Period:</t>
  </si>
  <si>
    <t>Debt Schedule:</t>
  </si>
  <si>
    <t>Interest Rates:</t>
  </si>
  <si>
    <t>LIBOR:</t>
  </si>
  <si>
    <t>Cash Flow and Revolver Calculations:</t>
  </si>
  <si>
    <t>(-) Amortization:</t>
  </si>
  <si>
    <t>(-) Minimum Cash:</t>
  </si>
  <si>
    <t>Cash Flow Surplus / (Shortfall):</t>
  </si>
  <si>
    <t>BoP Revolver:</t>
  </si>
  <si>
    <t>Revolver (Repayments) / Drawdowns:</t>
  </si>
  <si>
    <t>EoP Revolver:</t>
  </si>
  <si>
    <t>Cash Interest Expense:</t>
  </si>
  <si>
    <t>BoP Term Loans:</t>
  </si>
  <si>
    <t>EoP Term Loans:</t>
  </si>
  <si>
    <t>BoP Subordinated Notes:</t>
  </si>
  <si>
    <t>(+) PIK Interest:</t>
  </si>
  <si>
    <t>EoP Subordinated Notes:</t>
  </si>
  <si>
    <t>BoP Mezzanine:</t>
  </si>
  <si>
    <t>EoP Mezzanine:</t>
  </si>
  <si>
    <t>Total:</t>
  </si>
  <si>
    <t>Debt (Repayment) / Drawdown:</t>
  </si>
  <si>
    <t>Total Interest Expense:</t>
  </si>
  <si>
    <t>Cash Interest Income:</t>
  </si>
  <si>
    <t>Returns Calculations:</t>
  </si>
  <si>
    <t>Numerical Year:</t>
  </si>
  <si>
    <t>#</t>
  </si>
  <si>
    <t>(x) Exit Multiple:</t>
  </si>
  <si>
    <t>x</t>
  </si>
  <si>
    <t>Exit Enterprise Value:</t>
  </si>
  <si>
    <t>(-) Net Debt:</t>
  </si>
  <si>
    <t>Exit Equity Value:</t>
  </si>
  <si>
    <t>Project-Level Returns:</t>
  </si>
  <si>
    <t>Multiple:</t>
  </si>
  <si>
    <t>IRR:</t>
  </si>
  <si>
    <t>Distributions to Management and Mezzanine Investors:</t>
  </si>
  <si>
    <t>(+) Cash from Management Options:</t>
  </si>
  <si>
    <t>(-) Equity to Management Options:</t>
  </si>
  <si>
    <t>(-) Equity to Mezzanine Investors:</t>
  </si>
  <si>
    <t>Net Equity to Management &amp; Mezzanine:</t>
  </si>
  <si>
    <t>Sponsor Equity Proceeds:</t>
  </si>
  <si>
    <t>Sponsor Returns:</t>
  </si>
  <si>
    <t>Sensitivity Tables - Sponsor Returns:</t>
  </si>
  <si>
    <t>Purchase Premium:</t>
  </si>
  <si>
    <t>Value Creation Analysis:</t>
  </si>
  <si>
    <t>Value Creation in USD:</t>
  </si>
  <si>
    <t>EBITDA Growth:</t>
  </si>
  <si>
    <t>Multiple Expansion:</t>
  </si>
  <si>
    <t>Debt Paydown and Cash Generation:</t>
  </si>
  <si>
    <t>Total Equity Return:</t>
  </si>
  <si>
    <t>Value Creation in %:</t>
  </si>
  <si>
    <t>TCE Revenue Growth Drivers:</t>
  </si>
  <si>
    <t>Volume Growth:</t>
  </si>
  <si>
    <t>TCE Rate Growth:</t>
  </si>
  <si>
    <t>TCE Revenue Growth in %: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</si>
</sst>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b/>
      <sz val="12"/>
      <color rgb="FF000000"/>
      <name val="Calibri"/>
    </font>
    <font>
      <sz val="12"/>
      <color rgb="FF000000"/>
      <name val="Calibri"/>
    </font>
    <font>
      <i/>
      <sz val="12"/>
      <name val="Calibri"/>
    </font>
    <font>
      <i/>
      <sz val="12"/>
      <color rgb="FF000000"/>
      <name val="Calibri"/>
    </font>
    <font>
      <b/>
      <sz val="12"/>
      <color rgb="FFFFFFFF"/>
      <name val="Calibri"/>
    </font>
    <font>
      <sz val="12"/>
      <color rgb="FFFFFFFF"/>
      <name val="Calibri"/>
    </font>
    <font>
      <i/>
      <sz val="12"/>
      <color rgb="FFFFFFFF"/>
      <name val="Calibri"/>
    </font>
    <font>
      <sz val="12"/>
      <name val="Calibri"/>
    </font>
    <font>
      <b/>
      <sz val="12"/>
      <name val="Calibri"/>
    </font>
    <font>
      <sz val="12"/>
      <color rgb="FF0000FF"/>
      <name val="Calibri"/>
    </font>
    <font>
      <b/>
      <i/>
      <sz val="12"/>
      <color rgb="FFFFFFFF"/>
      <name val="Calibri"/>
    </font>
    <font>
      <sz val="12"/>
      <color rgb="FFD9D9D9"/>
      <name val="Calibri"/>
    </font>
    <font>
      <i/>
      <sz val="12"/>
      <color rgb="FF0000FF"/>
      <name val="Calibri"/>
    </font>
    <font>
      <b/>
      <sz val="14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1F497D"/>
      </patternFill>
    </fill>
    <fill>
      <patternFill patternType="solid">
        <fgColor rgb="FF1F4E79"/>
      </patternFill>
    </fill>
    <fill>
      <patternFill patternType="solid">
        <fgColor rgb="FFFFFF99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2" borderId="1" xfId="0" applyFont="1" applyFill="1" applyBorder="1"/>
    <xf numFmtId="0" fontId="1" fillId="0" borderId="2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/>
    <xf numFmtId="0" fontId="2" fillId="0" borderId="0" xfId="0" applyFont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7" fillId="4" borderId="0" xfId="0" applyFont="1" applyFill="1"/>
    <xf numFmtId="0" fontId="5" fillId="4" borderId="0" xfId="0" applyFont="1" applyFill="1"/>
    <xf numFmtId="0" fontId="8" fillId="0" borderId="0" xfId="0" applyFont="1"/>
    <xf numFmtId="0" fontId="2" fillId="0" borderId="6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6" fillId="4" borderId="1" xfId="0" applyFont="1" applyFill="1" applyBorder="1"/>
    <xf numFmtId="0" fontId="5" fillId="4" borderId="1" xfId="0" applyFont="1" applyFill="1" applyBorder="1"/>
    <xf numFmtId="0" fontId="7" fillId="4" borderId="1" xfId="0" applyFont="1" applyFill="1" applyBorder="1"/>
    <xf numFmtId="0" fontId="2" fillId="0" borderId="2" xfId="0" applyFont="1" applyBorder="1"/>
    <xf numFmtId="0" fontId="10" fillId="5" borderId="10" xfId="0" applyFont="1" applyFill="1" applyBorder="1"/>
    <xf numFmtId="0" fontId="5" fillId="3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6" fillId="4" borderId="0" xfId="0" applyFont="1" applyFill="1"/>
    <xf numFmtId="0" fontId="9" fillId="3" borderId="12" xfId="0" applyFont="1" applyFill="1" applyBorder="1" applyAlignment="1">
      <alignment horizontal="center"/>
    </xf>
    <xf numFmtId="0" fontId="9" fillId="5" borderId="13" xfId="0" applyFont="1" applyFill="1" applyBorder="1"/>
    <xf numFmtId="0" fontId="1" fillId="0" borderId="2" xfId="0" applyFont="1" applyBorder="1" applyAlignment="1">
      <alignment horizontal="left"/>
    </xf>
    <xf numFmtId="0" fontId="9" fillId="0" borderId="0" xfId="0" applyFont="1"/>
    <xf numFmtId="0" fontId="8" fillId="5" borderId="13" xfId="0" applyFont="1" applyFill="1" applyBorder="1"/>
    <xf numFmtId="0" fontId="1" fillId="0" borderId="0" xfId="0" applyFont="1" applyAlignment="1">
      <alignment horizontal="left"/>
    </xf>
    <xf numFmtId="0" fontId="8" fillId="2" borderId="7" xfId="0" applyFont="1" applyFill="1" applyBorder="1" applyAlignment="1">
      <alignment horizontal="center"/>
    </xf>
    <xf numFmtId="0" fontId="12" fillId="2" borderId="0" xfId="0" applyFont="1" applyFill="1"/>
    <xf numFmtId="0" fontId="5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8" fillId="3" borderId="6" xfId="0" applyFont="1" applyFill="1" applyBorder="1"/>
    <xf numFmtId="0" fontId="10" fillId="0" borderId="0" xfId="0" applyFont="1"/>
    <xf numFmtId="0" fontId="8" fillId="0" borderId="0" xfId="0" applyFont="1" applyAlignment="1">
      <alignment horizontal="left"/>
    </xf>
    <xf numFmtId="0" fontId="5" fillId="3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/>
    <xf numFmtId="0" fontId="4" fillId="0" borderId="0" xfId="0" applyFont="1" applyAlignment="1">
      <alignment horizontal="left"/>
    </xf>
    <xf numFmtId="0" fontId="8" fillId="5" borderId="10" xfId="0" applyFont="1" applyFill="1" applyBorder="1"/>
    <xf numFmtId="0" fontId="5" fillId="3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13" fillId="0" borderId="0" xfId="0" applyFont="1"/>
    <xf numFmtId="0" fontId="6" fillId="3" borderId="1" xfId="0" applyFont="1" applyFill="1" applyBorder="1"/>
    <xf numFmtId="0" fontId="5" fillId="3" borderId="1" xfId="0" applyFont="1" applyFill="1" applyBorder="1"/>
    <xf numFmtId="0" fontId="7" fillId="3" borderId="0" xfId="0" applyFont="1" applyFill="1"/>
    <xf numFmtId="0" fontId="6" fillId="3" borderId="0" xfId="0" applyFont="1" applyFill="1"/>
    <xf numFmtId="0" fontId="5" fillId="3" borderId="0" xfId="0" applyFont="1" applyFill="1"/>
    <xf numFmtId="0" fontId="8" fillId="2" borderId="12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8" fillId="3" borderId="8" xfId="0" applyFont="1" applyFill="1" applyBorder="1"/>
    <xf numFmtId="0" fontId="2" fillId="0" borderId="14" xfId="0" applyFont="1" applyBorder="1"/>
    <xf numFmtId="0" fontId="10" fillId="0" borderId="15" xfId="0" applyFont="1" applyBorder="1"/>
    <xf numFmtId="0" fontId="10" fillId="0" borderId="0" xfId="0" applyFont="1" applyAlignment="1">
      <alignment horizontal="center"/>
    </xf>
    <xf numFmtId="0" fontId="10" fillId="0" borderId="2" xfId="0" applyFont="1" applyBorder="1"/>
    <xf numFmtId="0" fontId="10" fillId="0" borderId="16" xfId="0" applyFont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8" fillId="0" borderId="17" xfId="0" applyFont="1" applyBorder="1"/>
    <xf numFmtId="0" fontId="2" fillId="5" borderId="18" xfId="0" applyFont="1" applyFill="1" applyBorder="1"/>
    <xf numFmtId="0" fontId="8" fillId="0" borderId="19" xfId="0" applyFont="1" applyBorder="1"/>
    <xf numFmtId="0" fontId="10" fillId="5" borderId="20" xfId="0" applyFont="1" applyFill="1" applyBorder="1"/>
    <xf numFmtId="0" fontId="8" fillId="0" borderId="2" xfId="0" applyFont="1" applyBorder="1"/>
    <xf numFmtId="0" fontId="2" fillId="0" borderId="21" xfId="0" applyFont="1" applyBorder="1"/>
    <xf numFmtId="0" fontId="9" fillId="0" borderId="2" xfId="0" applyFont="1" applyBorder="1"/>
    <xf numFmtId="0" fontId="2" fillId="0" borderId="22" xfId="0" applyFont="1" applyBorder="1" applyAlignment="1">
      <alignment horizontal="center" vertical="center"/>
    </xf>
    <xf numFmtId="0" fontId="10" fillId="5" borderId="10" xfId="0" applyFont="1" applyFill="1" applyBorder="1" applyAlignment="1">
      <alignment horizontal="left"/>
    </xf>
    <xf numFmtId="0" fontId="10" fillId="5" borderId="10" xfId="0" applyFont="1" applyFill="1" applyBorder="1" applyAlignment="1">
      <alignment horizontal="center"/>
    </xf>
    <xf numFmtId="0" fontId="1" fillId="2" borderId="2" xfId="0" applyFont="1" applyFill="1" applyBorder="1"/>
    <xf numFmtId="0" fontId="2" fillId="2" borderId="2" xfId="0" applyFont="1" applyFill="1" applyBorder="1"/>
    <xf numFmtId="0" fontId="8" fillId="5" borderId="10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center"/>
    </xf>
    <xf numFmtId="0" fontId="14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N248"/>
  <sheetViews>
    <sheetView workbookViewId="0" showGridLines="0" zoomScale="115"/>
  </sheetViews>
  <cols>
    <col min="1" max="1" style="5"/>
    <col min="2" max="2" style="5"/>
    <col min="3" max="3" style="5"/>
    <col min="4" max="4" style="5"/>
    <col min="5" max="5" style="5"/>
    <col min="6" max="6" style="5"/>
    <col min="7" max="7" style="5"/>
    <col min="8" max="8" style="5"/>
    <col min="9" max="9" style="5"/>
    <col min="10" max="10" style="5"/>
    <col min="11" max="11" style="5"/>
    <col min="12" max="12" style="5"/>
    <col min="13" max="13" style="5"/>
    <col min="14" max="14" style="5"/>
  </cols>
  <sheetData>
    <row r="2">
      <c r="B2" s="91">
        <f>Company_Name&amp;" - LBO Case Study Model Test"</f>
        <v>Diana Shipping Inc. - LBO Case Study Model Test</v>
      </c>
    </row>
    <row r="3">
      <c r="B3" s="5" t="s">
        <v>0</v>
      </c>
    </row>
    <row r="5">
      <c r="B5" s="29" t="s">
        <v>1</v>
      </c>
      <c r="C5" s="28"/>
      <c r="D5" s="30"/>
      <c r="E5" s="30"/>
      <c r="F5" s="28"/>
      <c r="G5" s="28"/>
      <c r="H5" s="28"/>
      <c r="I5" s="28"/>
      <c r="J5" s="30"/>
      <c r="K5" s="28"/>
      <c r="L5" s="28"/>
      <c r="M5" s="28"/>
    </row>
    <row r="7">
      <c r="C7" s="5" t="s">
        <v>2</v>
      </c>
      <c r="D7" s="86" t="s">
        <v>3</v>
      </c>
      <c r="E7" s="86"/>
      <c r="H7" s="5" t="s">
        <v>4</v>
      </c>
      <c r="K7" s="32">
        <v>50</v>
      </c>
      <c r="L7" s="5"/>
    </row>
    <row r="8">
      <c r="C8" s="5" t="s">
        <v>5</v>
      </c>
      <c r="D8" s="86" t="s">
        <v>6</v>
      </c>
      <c r="H8" s="5" t="s">
        <v>7</v>
      </c>
      <c r="K8" s="5">
        <f>+H124</f>
        <v>29.804013</v>
      </c>
      <c r="L8" s="5"/>
    </row>
    <row r="9">
      <c r="C9" s="5"/>
      <c r="D9" s="5"/>
      <c r="H9" s="5"/>
      <c r="L9" s="5"/>
    </row>
    <row r="10">
      <c r="C10" s="5" t="s">
        <v>8</v>
      </c>
      <c r="D10" s="85">
        <v>2.29</v>
      </c>
      <c r="H10" s="11" t="s">
        <v>9</v>
      </c>
      <c r="I10" s="7"/>
      <c r="J10" s="7"/>
      <c r="K10" s="11">
        <f>+D12*D13</f>
        <v>236.725113</v>
      </c>
      <c r="L10" s="5"/>
    </row>
    <row r="11">
      <c r="C11" s="12" t="s">
        <v>10</v>
      </c>
      <c r="D11" s="85">
        <v>0.3</v>
      </c>
      <c r="H11" s="12" t="s">
        <v>11</v>
      </c>
      <c r="K11" s="50">
        <v>-108.32</v>
      </c>
      <c r="L11" s="5"/>
    </row>
    <row r="12">
      <c r="C12" s="5" t="s">
        <v>12</v>
      </c>
      <c r="D12" s="89">
        <f>+D10*(1+D11)</f>
        <v>2.977</v>
      </c>
      <c r="H12" s="12" t="s">
        <v>13</v>
      </c>
      <c r="K12" s="50">
        <v>608.975</v>
      </c>
      <c r="L12" s="5"/>
    </row>
    <row r="13">
      <c r="C13" s="5" t="s">
        <v>14</v>
      </c>
      <c r="D13" s="32">
        <v>79.518009</v>
      </c>
      <c r="H13" s="87" t="s">
        <v>15</v>
      </c>
      <c r="I13" s="88"/>
      <c r="J13" s="88"/>
      <c r="K13" s="87">
        <f>SUM(K10:K12)</f>
        <v>737.380113</v>
      </c>
      <c r="L13" s="5"/>
    </row>
    <row r="14">
      <c r="L14" s="5"/>
    </row>
    <row r="15">
      <c r="C15" s="5" t="s">
        <v>16</v>
      </c>
      <c r="D15" s="86">
        <v>42735</v>
      </c>
      <c r="H15" s="5" t="s">
        <v>17</v>
      </c>
      <c r="K15" s="20">
        <f>+K13/LTM_EBITDA</f>
        <v>24.740967</v>
      </c>
      <c r="L15" s="5"/>
    </row>
    <row r="16">
      <c r="C16" s="5" t="s">
        <v>18</v>
      </c>
      <c r="D16" s="32">
        <v>1000000</v>
      </c>
    </row>
    <row r="17">
      <c r="H17" s="5" t="s">
        <v>19</v>
      </c>
      <c r="K17" s="32">
        <v>0.1</v>
      </c>
    </row>
    <row r="18">
      <c r="C18" s="5" t="s">
        <v>20</v>
      </c>
      <c r="D18" s="85">
        <v>0.02</v>
      </c>
      <c r="H18" s="5"/>
      <c r="I18" s="5"/>
      <c r="J18" s="5"/>
      <c r="K18" s="5"/>
    </row>
    <row r="20">
      <c r="B20" s="29" t="s">
        <v>21</v>
      </c>
      <c r="C20" s="28"/>
      <c r="D20" s="30"/>
      <c r="E20" s="30"/>
      <c r="F20" s="28"/>
      <c r="G20" s="28"/>
      <c r="H20" s="28"/>
      <c r="I20" s="28"/>
      <c r="J20" s="30"/>
      <c r="K20" s="28"/>
      <c r="L20" s="28"/>
      <c r="M20" s="28"/>
    </row>
    <row r="22">
      <c r="C22" s="11" t="s">
        <v>22</v>
      </c>
      <c r="D22" s="74" t="s">
        <v>23</v>
      </c>
      <c r="E22" s="74" t="s">
        <v>24</v>
      </c>
      <c r="F22" s="75" t="s">
        <v>25</v>
      </c>
      <c r="H22" s="11" t="s">
        <v>26</v>
      </c>
      <c r="I22" s="7"/>
      <c r="J22" s="7"/>
      <c r="K22" s="74" t="s">
        <v>23</v>
      </c>
      <c r="L22" s="74" t="s">
        <v>24</v>
      </c>
    </row>
    <row r="23">
      <c r="C23" s="12" t="s">
        <v>27</v>
      </c>
      <c r="D23" s="5">
        <f>+E23*LTM_EBITDA</f>
        <v>0</v>
      </c>
      <c r="E23" s="32">
        <v>0</v>
      </c>
      <c r="F23" s="82">
        <f>+D23/D$29</f>
        <v>0</v>
      </c>
      <c r="H23" s="12" t="s">
        <v>9</v>
      </c>
      <c r="K23" s="20">
        <f>+K10</f>
        <v>236.725113</v>
      </c>
      <c r="L23" s="81">
        <f>+K23/LTM_EBITDA</f>
        <v>7.942726</v>
      </c>
    </row>
    <row r="24">
      <c r="C24" s="12" t="s">
        <v>28</v>
      </c>
      <c r="D24" s="5">
        <f>+E24*LTM_EBITDA</f>
        <v>29.804013</v>
      </c>
      <c r="E24" s="32">
        <v>1</v>
      </c>
      <c r="F24" s="69">
        <f t="shared" ref="F24" si="63">+D24/D$29</f>
        <v>0.034341</v>
      </c>
      <c r="H24" s="12" t="s">
        <v>29</v>
      </c>
      <c r="K24" s="20">
        <f>+K12</f>
        <v>608.975</v>
      </c>
      <c r="L24" s="20">
        <f>+K24/LTM_EBITDA</f>
        <v>20.432651</v>
      </c>
    </row>
    <row r="25">
      <c r="C25" s="12" t="s">
        <v>30</v>
      </c>
      <c r="D25" s="5">
        <f>+E25*LTM_EBITDA</f>
        <v>89.412039</v>
      </c>
      <c r="E25" s="32">
        <v>3</v>
      </c>
      <c r="F25" s="69"/>
      <c r="H25" s="12" t="s">
        <v>20</v>
      </c>
      <c r="K25" s="5">
        <f>+K12*D18</f>
        <v>12.1795</v>
      </c>
      <c r="L25" s="20">
        <f>+K25/LTM_EBITDA</f>
        <v>0.408653</v>
      </c>
    </row>
    <row r="26">
      <c r="C26" s="12" t="s">
        <v>31</v>
      </c>
      <c r="D26" s="5">
        <f>+E26*LTM_EBITDA</f>
        <v>59.608026</v>
      </c>
      <c r="E26" s="32">
        <v>2</v>
      </c>
      <c r="F26" s="69"/>
      <c r="H26" s="12" t="s">
        <v>32</v>
      </c>
      <c r="K26" s="80">
        <v>10</v>
      </c>
      <c r="L26" s="20">
        <f>+K26/LTM_EBITDA</f>
        <v>0.335525</v>
      </c>
    </row>
    <row r="27">
      <c r="C27" s="12" t="s">
        <v>33</v>
      </c>
      <c r="D27" s="5">
        <f>-K11-Min_Cash</f>
        <v>58.32</v>
      </c>
      <c r="E27" s="79">
        <f>+D27/LTM_EBITDA</f>
        <v>1.956783</v>
      </c>
      <c r="F27" s="5"/>
      <c r="H27" s="39" t="s">
        <v>34</v>
      </c>
      <c r="I27" s="31"/>
      <c r="J27" s="31"/>
      <c r="K27" s="8">
        <f>SUM(K23:K26)</f>
        <v>867.879613</v>
      </c>
      <c r="L27" s="83">
        <f>SUM(L23:L26)</f>
        <v>29.119555</v>
      </c>
    </row>
    <row r="28">
      <c r="C28" s="12" t="s">
        <v>35</v>
      </c>
      <c r="D28" s="78">
        <f>+K27-SUM(D23:D27)</f>
        <v>630.735535</v>
      </c>
      <c r="E28" s="77">
        <f>+D28/LTM_EBITDA</f>
        <v>21.162772</v>
      </c>
      <c r="F28" s="4"/>
    </row>
    <row r="29">
      <c r="C29" s="39" t="s">
        <v>36</v>
      </c>
      <c r="D29" s="8">
        <f>SUM(D23:D28)</f>
        <v>867.879613</v>
      </c>
      <c r="E29" s="40">
        <f>SUM(E23:E28)</f>
        <v>29.119556</v>
      </c>
      <c r="F29" s="1">
        <f>SUM(F23:F28)</f>
        <v>1</v>
      </c>
    </row>
    <row r="31">
      <c r="B31" s="29" t="s">
        <v>37</v>
      </c>
      <c r="C31" s="28"/>
      <c r="D31" s="30"/>
      <c r="E31" s="30"/>
      <c r="F31" s="28"/>
      <c r="G31" s="28"/>
      <c r="H31" s="28"/>
      <c r="I31" s="28"/>
      <c r="J31" s="30"/>
      <c r="K31" s="28"/>
      <c r="L31" s="28"/>
      <c r="M31" s="28"/>
    </row>
    <row r="33">
      <c r="C33" s="76"/>
      <c r="D33" s="75" t="s">
        <v>38</v>
      </c>
      <c r="E33" s="75" t="s">
        <v>38</v>
      </c>
      <c r="F33" s="75" t="s">
        <v>39</v>
      </c>
      <c r="G33" s="75" t="s">
        <v>40</v>
      </c>
      <c r="H33" s="75" t="s">
        <v>41</v>
      </c>
      <c r="I33" s="75"/>
      <c r="J33" s="53"/>
    </row>
    <row r="34">
      <c r="C34" s="11" t="s">
        <v>42</v>
      </c>
      <c r="D34" s="74" t="s">
        <v>43</v>
      </c>
      <c r="E34" s="74" t="s">
        <v>44</v>
      </c>
      <c r="F34" s="74" t="s">
        <v>45</v>
      </c>
      <c r="G34" s="74" t="s">
        <v>46</v>
      </c>
      <c r="H34" s="74" t="s">
        <v>47</v>
      </c>
      <c r="I34" s="74" t="s">
        <v>48</v>
      </c>
      <c r="J34" s="53"/>
    </row>
    <row r="35">
      <c r="C35" s="12">
        <f>+$C$23</f>
        <v>#VALUE!</v>
      </c>
      <c r="D35" s="32">
        <v>0.015</v>
      </c>
      <c r="E35" s="32">
        <v>0.05</v>
      </c>
      <c r="G35" s="71"/>
      <c r="H35" s="73"/>
      <c r="I35" s="72"/>
      <c r="J35" s="50"/>
    </row>
    <row r="36">
      <c r="C36" s="12">
        <f>+$C$24</f>
        <v>#VALUE!</v>
      </c>
      <c r="D36" s="32">
        <v>0.02</v>
      </c>
      <c r="E36" s="32">
        <v>0.06</v>
      </c>
      <c r="G36" s="71"/>
      <c r="H36" s="32">
        <v>0.01</v>
      </c>
      <c r="I36" s="50"/>
      <c r="J36" s="50"/>
    </row>
    <row r="37">
      <c r="C37" s="12">
        <f>+$C$25</f>
        <v>#VALUE!</v>
      </c>
      <c r="F37" s="32">
        <v>0.08</v>
      </c>
      <c r="G37" s="32">
        <v>0.03</v>
      </c>
      <c r="I37" s="70"/>
      <c r="J37" s="50"/>
    </row>
    <row r="38">
      <c r="C38" s="12">
        <f>+$C$26</f>
        <v>#VALUE!</v>
      </c>
      <c r="F38" s="32">
        <v>0.04</v>
      </c>
      <c r="G38" s="32">
        <v>0.08</v>
      </c>
      <c r="I38" s="32">
        <v>0.02</v>
      </c>
      <c r="J38" s="69"/>
    </row>
    <row r="39">
      <c r="C39" s="12" t="s">
        <v>49</v>
      </c>
      <c r="E39" s="32">
        <v>0.02</v>
      </c>
    </row>
    <row r="41">
      <c r="B41" s="65"/>
      <c r="C41" s="64"/>
      <c r="D41" s="63"/>
      <c r="E41" s="17" t="s">
        <v>50</v>
      </c>
      <c r="F41" s="17"/>
      <c r="G41" s="15"/>
      <c r="H41" s="15"/>
      <c r="I41" s="16" t="s">
        <v>51</v>
      </c>
      <c r="J41" s="35"/>
      <c r="K41" s="15"/>
      <c r="L41" s="15"/>
      <c r="M41" s="15"/>
    </row>
    <row r="42">
      <c r="B42" s="62" t="s">
        <v>52</v>
      </c>
      <c r="C42" s="61"/>
      <c r="D42" s="34" t="s">
        <v>18</v>
      </c>
      <c r="E42" s="13">
        <f>EOMONTH(F42,-12)</f>
        <v>41639</v>
      </c>
      <c r="F42" s="13">
        <f>EOMONTH(G42,-12)</f>
        <v>42004</v>
      </c>
      <c r="G42" s="13">
        <f>EOMONTH(H42,-12)</f>
        <v>42369</v>
      </c>
      <c r="H42" s="14">
        <f>Hist_Year</f>
        <v>42735</v>
      </c>
      <c r="I42" s="33">
        <f>EOMONTH(H42,12)</f>
        <v>43100</v>
      </c>
      <c r="J42" s="13">
        <f>EOMONTH(I42,12)</f>
        <v>43465</v>
      </c>
      <c r="K42" s="13">
        <f>EOMONTH(J42,12)</f>
        <v>43830</v>
      </c>
      <c r="L42" s="13">
        <f>EOMONTH(K42,12)</f>
        <v>44196</v>
      </c>
      <c r="M42" s="13">
        <f>EOMONTH(L42,12)</f>
        <v>44561</v>
      </c>
    </row>
    <row r="44">
      <c r="C44" s="5" t="s">
        <v>53</v>
      </c>
      <c r="D44" s="9" t="s">
        <v>54</v>
      </c>
      <c r="E44" s="5">
        <f>+E42-EOMONTH(E42,-12)</f>
        <v>365</v>
      </c>
      <c r="F44" s="5">
        <f t="shared" ref="F44" si="59">+F42-E42</f>
        <v>365</v>
      </c>
      <c r="G44" s="5"/>
      <c r="H44" s="5"/>
      <c r="I44" s="5"/>
      <c r="J44" s="5"/>
      <c r="K44" s="5"/>
      <c r="L44" s="5"/>
      <c r="M44" s="5"/>
    </row>
    <row r="46">
      <c r="C46" s="5" t="s">
        <v>55</v>
      </c>
      <c r="D46" s="9" t="s">
        <v>56</v>
      </c>
      <c r="E46" s="50">
        <v>33</v>
      </c>
      <c r="F46" s="50">
        <v>37.9</v>
      </c>
      <c r="G46" s="50">
        <v>40.8</v>
      </c>
      <c r="H46" s="50">
        <v>45.5</v>
      </c>
      <c r="I46" s="20"/>
      <c r="J46" s="20"/>
      <c r="K46" s="20"/>
      <c r="L46" s="20"/>
      <c r="M46" s="20"/>
    </row>
    <row r="47">
      <c r="C47" s="5" t="s">
        <v>57</v>
      </c>
      <c r="D47" s="9" t="s">
        <v>56</v>
      </c>
      <c r="E47" s="50">
        <v>36</v>
      </c>
      <c r="F47" s="50">
        <v>39</v>
      </c>
      <c r="G47" s="50">
        <v>43</v>
      </c>
      <c r="H47" s="50">
        <v>48</v>
      </c>
      <c r="I47" s="32"/>
      <c r="J47" s="32"/>
      <c r="K47" s="32"/>
      <c r="L47" s="32"/>
      <c r="M47" s="32"/>
    </row>
    <row r="48">
      <c r="E48" s="5"/>
      <c r="F48" s="5"/>
      <c r="G48" s="5"/>
      <c r="I48" s="5"/>
    </row>
    <row r="49">
      <c r="C49" s="5" t="s">
        <v>58</v>
      </c>
      <c r="D49" s="9" t="s">
        <v>54</v>
      </c>
      <c r="E49" s="50">
        <v>12049</v>
      </c>
      <c r="F49" s="50">
        <v>13822</v>
      </c>
      <c r="G49" s="50">
        <v>14900</v>
      </c>
      <c r="H49" s="50">
        <v>16653</v>
      </c>
      <c r="I49" s="5"/>
      <c r="J49" s="5"/>
      <c r="K49" s="5"/>
      <c r="L49" s="5"/>
      <c r="M49" s="5"/>
    </row>
    <row r="50">
      <c r="C50" s="5" t="s">
        <v>59</v>
      </c>
      <c r="D50" s="9" t="s">
        <v>54</v>
      </c>
      <c r="E50" s="50">
        <v>12029</v>
      </c>
      <c r="F50" s="50">
        <v>13650</v>
      </c>
      <c r="G50" s="50">
        <v>14600</v>
      </c>
      <c r="H50" s="50">
        <v>16236.675</v>
      </c>
      <c r="I50" s="5"/>
      <c r="J50" s="5"/>
      <c r="K50" s="5"/>
      <c r="L50" s="5"/>
      <c r="M50" s="5"/>
    </row>
    <row r="51">
      <c r="C51" s="12" t="s">
        <v>60</v>
      </c>
      <c r="D51" s="6" t="s">
        <v>61</v>
      </c>
      <c r="E51" s="5">
        <f>+E50/E49</f>
        <v>0.99834</v>
      </c>
      <c r="F51" s="5">
        <f t="shared" ref="F51" si="56">+F50/F49</f>
        <v>0.987556</v>
      </c>
      <c r="G51" s="5"/>
      <c r="H51" s="5"/>
      <c r="I51" s="32"/>
      <c r="J51" s="32"/>
      <c r="K51" s="32"/>
      <c r="L51" s="32"/>
      <c r="M51" s="32"/>
    </row>
    <row r="52">
      <c r="C52" s="5"/>
    </row>
    <row r="53">
      <c r="C53" s="5" t="s">
        <v>62</v>
      </c>
      <c r="D53" s="9" t="s">
        <v>63</v>
      </c>
      <c r="E53" s="50">
        <v>12959</v>
      </c>
      <c r="F53" s="50">
        <v>12081</v>
      </c>
      <c r="G53" s="50">
        <v>9739</v>
      </c>
      <c r="H53" s="50">
        <v>9252.05</v>
      </c>
      <c r="I53" s="5"/>
      <c r="J53" s="5"/>
      <c r="K53" s="5"/>
      <c r="L53" s="5"/>
      <c r="M53" s="5"/>
    </row>
    <row r="54">
      <c r="C54" s="12" t="s">
        <v>64</v>
      </c>
      <c r="D54" s="6" t="s">
        <v>61</v>
      </c>
      <c r="E54" s="5">
        <f>+E53/21255-1</f>
        <v>-0.390308</v>
      </c>
      <c r="F54" s="5">
        <f>+F53/E53-1</f>
        <v>-0.067752</v>
      </c>
      <c r="G54" s="5">
        <f>+G53/F53-1</f>
        <v>-0.193858</v>
      </c>
      <c r="H54" s="5">
        <f>+H53/G53-1</f>
        <v>-0.05</v>
      </c>
      <c r="I54" s="32"/>
      <c r="J54" s="32"/>
      <c r="K54" s="32"/>
      <c r="L54" s="32"/>
      <c r="M54" s="32"/>
    </row>
    <row r="55">
      <c r="F55" s="5"/>
      <c r="G55" s="5"/>
    </row>
    <row r="56">
      <c r="C56" s="5" t="s">
        <v>65</v>
      </c>
      <c r="D56" s="9" t="s">
        <v>23</v>
      </c>
      <c r="E56" s="5">
        <f>-E125/(E47-30)</f>
        <v>33.096833</v>
      </c>
      <c r="F56" s="5">
        <f>-F125/(F47-E47)</f>
        <v>37.234</v>
      </c>
      <c r="G56" s="5">
        <f>-G125/(G47-F47)</f>
        <v>38.838</v>
      </c>
      <c r="H56" s="5">
        <f>-H125/(H47-G47)</f>
        <v>40.7799</v>
      </c>
      <c r="I56" s="5"/>
      <c r="J56" s="5"/>
      <c r="K56" s="5"/>
      <c r="L56" s="5"/>
      <c r="M56" s="5"/>
    </row>
    <row r="57">
      <c r="C57" s="12" t="s">
        <v>64</v>
      </c>
      <c r="D57" s="6" t="s">
        <v>61</v>
      </c>
      <c r="F57" s="5">
        <f>+F56/E56-1</f>
        <v>0.125002</v>
      </c>
      <c r="G57" s="5">
        <f>+G56/F56-1</f>
        <v>0.043079</v>
      </c>
      <c r="H57" s="5">
        <f>+H56/G56-1</f>
        <v>0.05</v>
      </c>
      <c r="I57" s="32"/>
      <c r="J57" s="32"/>
      <c r="K57" s="32"/>
      <c r="L57" s="32"/>
      <c r="M57" s="32"/>
    </row>
    <row r="58">
      <c r="C58" s="12" t="s">
        <v>66</v>
      </c>
      <c r="D58" s="6" t="s">
        <v>61</v>
      </c>
      <c r="E58" s="5">
        <f t="shared" ref="E58" si="55">-E125/E74</f>
        <v>1.210823</v>
      </c>
      <c r="F58" s="5"/>
      <c r="G58" s="5"/>
      <c r="H58" s="5"/>
      <c r="I58" s="5"/>
      <c r="J58" s="5"/>
      <c r="K58" s="5"/>
      <c r="L58" s="5"/>
      <c r="M58" s="5"/>
    </row>
    <row r="60">
      <c r="C60" s="5" t="s">
        <v>67</v>
      </c>
      <c r="D60" s="9" t="s">
        <v>23</v>
      </c>
      <c r="E60" s="5">
        <f>-E75/E46</f>
        <v>0.24603</v>
      </c>
      <c r="F60" s="5">
        <f>-F75/F46</f>
        <v>0.281398</v>
      </c>
      <c r="G60" s="5">
        <f>-G75/G46</f>
        <v>0.380588</v>
      </c>
      <c r="H60" s="5">
        <f>-H75/H46</f>
        <v>0.475735</v>
      </c>
      <c r="I60" s="5"/>
      <c r="J60" s="5"/>
      <c r="K60" s="5"/>
      <c r="L60" s="5"/>
      <c r="M60" s="5"/>
    </row>
    <row r="61">
      <c r="C61" s="12" t="s">
        <v>64</v>
      </c>
      <c r="D61" s="6" t="s">
        <v>61</v>
      </c>
      <c r="F61" s="5">
        <f>+F60/E60-1</f>
        <v>0.143755</v>
      </c>
      <c r="G61" s="5">
        <f>+G60/F60-1</f>
        <v>0.35249</v>
      </c>
      <c r="H61" s="5">
        <f>+H60/G60-1</f>
        <v>0.25</v>
      </c>
      <c r="I61" s="32"/>
      <c r="J61" s="32"/>
      <c r="K61" s="32"/>
      <c r="L61" s="32"/>
      <c r="M61" s="32"/>
    </row>
    <row r="63">
      <c r="C63" s="5" t="s">
        <v>68</v>
      </c>
      <c r="D63" s="9" t="s">
        <v>23</v>
      </c>
      <c r="E63" s="5">
        <f>+E81/E46</f>
        <v>2.339727</v>
      </c>
      <c r="F63" s="5">
        <f>+F81/F46</f>
        <v>2.293483</v>
      </c>
      <c r="G63" s="5">
        <f>+G81/G46</f>
        <v>2.163529</v>
      </c>
      <c r="H63" s="5">
        <f>+H81/H46</f>
        <v>2.055353</v>
      </c>
      <c r="I63" s="5"/>
      <c r="J63" s="5"/>
      <c r="K63" s="5"/>
      <c r="L63" s="5"/>
      <c r="M63" s="5"/>
    </row>
    <row r="64">
      <c r="C64" s="12" t="s">
        <v>64</v>
      </c>
      <c r="D64" s="6" t="s">
        <v>61</v>
      </c>
      <c r="F64" s="5">
        <f>+F63/E63-1</f>
        <v>-0.019765</v>
      </c>
      <c r="G64" s="5">
        <f>+G63/F63-1</f>
        <v>-0.056662</v>
      </c>
      <c r="H64" s="5">
        <f>+H63/G63-1</f>
        <v>-0.05</v>
      </c>
      <c r="I64" s="32"/>
      <c r="J64" s="32"/>
      <c r="K64" s="32"/>
      <c r="L64" s="32"/>
      <c r="M64" s="32"/>
    </row>
    <row r="66">
      <c r="C66" s="5" t="s">
        <v>69</v>
      </c>
      <c r="D66" s="9" t="s">
        <v>23</v>
      </c>
      <c r="E66" s="5">
        <f>+E82/E46</f>
        <v>1.961848</v>
      </c>
      <c r="F66" s="5">
        <f>+F82/F46</f>
        <v>1.860237</v>
      </c>
      <c r="G66" s="5">
        <f>+G82/G46</f>
        <v>1.870907</v>
      </c>
      <c r="H66" s="5">
        <f>+H82/H46</f>
        <v>1.880261</v>
      </c>
      <c r="I66" s="5"/>
      <c r="J66" s="5"/>
      <c r="K66" s="5"/>
      <c r="L66" s="5"/>
      <c r="M66" s="5"/>
    </row>
    <row r="67">
      <c r="C67" s="12" t="s">
        <v>64</v>
      </c>
      <c r="D67" s="6" t="s">
        <v>61</v>
      </c>
      <c r="F67" s="5">
        <f>+F66/E66-1</f>
        <v>-0.051794</v>
      </c>
      <c r="G67" s="5">
        <f>+G66/F66-1</f>
        <v>0.005736</v>
      </c>
      <c r="H67" s="5">
        <f>+H66/G66-1</f>
        <v>0.005</v>
      </c>
      <c r="I67" s="32"/>
      <c r="J67" s="32"/>
      <c r="K67" s="32"/>
      <c r="L67" s="32"/>
      <c r="M67" s="32"/>
    </row>
    <row r="68">
      <c r="C68" s="5"/>
    </row>
    <row r="69">
      <c r="C69" s="5" t="s">
        <v>70</v>
      </c>
      <c r="D69" s="6" t="s">
        <v>61</v>
      </c>
      <c r="E69" s="5">
        <f>+E83/E74</f>
        <v>0.144654</v>
      </c>
      <c r="F69" s="5">
        <f t="shared" ref="F69" si="51">+F83/F74</f>
        <v>0.14932</v>
      </c>
      <c r="G69" s="5"/>
      <c r="H69" s="5"/>
      <c r="I69" s="32"/>
      <c r="J69" s="32"/>
      <c r="K69" s="32"/>
      <c r="L69" s="32"/>
      <c r="M69" s="32"/>
    </row>
    <row r="71">
      <c r="B71" s="65"/>
      <c r="C71" s="64"/>
      <c r="D71" s="63"/>
      <c r="E71" s="17" t="s">
        <v>50</v>
      </c>
      <c r="F71" s="17"/>
      <c r="G71" s="15"/>
      <c r="H71" s="15"/>
      <c r="I71" s="16" t="s">
        <v>51</v>
      </c>
      <c r="J71" s="35"/>
      <c r="K71" s="15"/>
      <c r="L71" s="15"/>
      <c r="M71" s="15"/>
    </row>
    <row r="72">
      <c r="B72" s="62" t="s">
        <v>71</v>
      </c>
      <c r="C72" s="61"/>
      <c r="D72" s="34">
        <f>+$D$42</f>
        <v>#VALUE!</v>
      </c>
      <c r="E72" s="13">
        <f>EOMONTH(F72,-12)</f>
        <v>41639</v>
      </c>
      <c r="F72" s="13">
        <f>EOMONTH(G72,-12)</f>
        <v>42004</v>
      </c>
      <c r="G72" s="13">
        <f>EOMONTH(H72,-12)</f>
        <v>42369</v>
      </c>
      <c r="H72" s="14">
        <f>Hist_Year</f>
        <v>42735</v>
      </c>
      <c r="I72" s="33">
        <f>EOMONTH(H72,12)</f>
        <v>43100</v>
      </c>
      <c r="J72" s="13">
        <f t="shared" ref="J72" si="49">EOMONTH(I72,12)</f>
        <v>43465</v>
      </c>
      <c r="K72" s="13"/>
      <c r="L72" s="13"/>
      <c r="M72" s="13"/>
    </row>
    <row r="73">
      <c r="H73" s="5"/>
    </row>
    <row r="74">
      <c r="C74" s="12" t="s">
        <v>72</v>
      </c>
      <c r="D74" s="9" t="s">
        <v>23</v>
      </c>
      <c r="E74" s="50">
        <v>164.005</v>
      </c>
      <c r="F74" s="50">
        <v>175.576</v>
      </c>
      <c r="G74" s="50">
        <v>157.712</v>
      </c>
      <c r="H74" s="50">
        <v>171.868485</v>
      </c>
      <c r="I74" s="20"/>
      <c r="J74" s="20"/>
      <c r="K74" s="20"/>
      <c r="L74" s="20"/>
      <c r="M74" s="20"/>
    </row>
    <row r="75">
      <c r="C75" s="12" t="s">
        <v>73</v>
      </c>
      <c r="D75" s="9" t="s">
        <v>23</v>
      </c>
      <c r="E75" s="50">
        <v>-8.119</v>
      </c>
      <c r="F75" s="50">
        <v>-10.665</v>
      </c>
      <c r="G75" s="50">
        <v>-15.528</v>
      </c>
      <c r="H75" s="50">
        <v>-21.645956</v>
      </c>
      <c r="I75" s="20"/>
      <c r="J75" s="20"/>
      <c r="K75" s="20"/>
      <c r="L75" s="20"/>
      <c r="M75" s="20"/>
    </row>
    <row r="76">
      <c r="C76" s="8" t="s">
        <v>74</v>
      </c>
      <c r="D76" s="58" t="s">
        <v>23</v>
      </c>
      <c r="E76" s="8">
        <f>SUM(E74:E75)</f>
        <v>155.886</v>
      </c>
      <c r="F76" s="8">
        <f t="shared" ref="F76" si="46">SUM(F74:F75)</f>
        <v>164.911</v>
      </c>
      <c r="G76" s="8"/>
      <c r="H76" s="8"/>
      <c r="I76" s="8"/>
      <c r="J76" s="8"/>
      <c r="K76" s="8"/>
      <c r="L76" s="8"/>
      <c r="M76" s="8"/>
    </row>
    <row r="77">
      <c r="C77" s="55" t="s">
        <v>75</v>
      </c>
      <c r="D77" s="6" t="s">
        <v>61</v>
      </c>
      <c r="E77" s="60">
        <v>-0.266457</v>
      </c>
      <c r="F77" s="59">
        <f>+F76/E76-1</f>
        <v>0.057895</v>
      </c>
      <c r="G77" s="59">
        <f t="shared" ref="G77" si="62">+G76/F76-1</f>
        <v>-0.137814</v>
      </c>
      <c r="H77" s="59"/>
      <c r="I77" s="59"/>
      <c r="J77" s="59"/>
      <c r="K77" s="59"/>
      <c r="L77" s="59"/>
      <c r="M77" s="59"/>
    </row>
    <row r="79">
      <c r="C79" s="5" t="s">
        <v>76</v>
      </c>
      <c r="D79" s="9" t="s">
        <v>23</v>
      </c>
      <c r="E79" s="50">
        <v>0.447</v>
      </c>
      <c r="F79" s="50">
        <v>0</v>
      </c>
      <c r="G79" s="50">
        <v>0</v>
      </c>
      <c r="H79" s="50">
        <v>0</v>
      </c>
      <c r="I79" s="20"/>
      <c r="J79" s="20"/>
      <c r="K79" s="20"/>
      <c r="L79" s="20"/>
      <c r="M79" s="20"/>
    </row>
    <row r="81">
      <c r="C81" s="12" t="s">
        <v>77</v>
      </c>
      <c r="D81" s="9" t="s">
        <v>23</v>
      </c>
      <c r="E81" s="50">
        <v>77.211</v>
      </c>
      <c r="F81" s="50">
        <v>86.923</v>
      </c>
      <c r="G81" s="50">
        <v>88.272</v>
      </c>
      <c r="H81" s="50">
        <v>93.518559</v>
      </c>
      <c r="I81" s="20"/>
      <c r="J81" s="20"/>
      <c r="K81" s="20"/>
      <c r="L81" s="20"/>
      <c r="M81" s="20"/>
    </row>
    <row r="82">
      <c r="C82" s="12" t="s">
        <v>78</v>
      </c>
      <c r="D82" s="9" t="s">
        <v>23</v>
      </c>
      <c r="E82" s="50">
        <v>64.741</v>
      </c>
      <c r="F82" s="50">
        <v>70.503</v>
      </c>
      <c r="G82" s="50">
        <v>76.333</v>
      </c>
      <c r="H82" s="50">
        <v>85.551894</v>
      </c>
      <c r="I82" s="20"/>
      <c r="J82" s="20"/>
      <c r="K82" s="20"/>
      <c r="L82" s="20"/>
      <c r="M82" s="20"/>
    </row>
    <row r="83">
      <c r="C83" s="12" t="s">
        <v>79</v>
      </c>
      <c r="D83" s="9" t="s">
        <v>23</v>
      </c>
      <c r="E83" s="50">
        <v>23.724</v>
      </c>
      <c r="F83" s="50">
        <v>26.217</v>
      </c>
      <c r="G83" s="50">
        <v>25.335</v>
      </c>
      <c r="H83" s="50">
        <v>27.498958</v>
      </c>
      <c r="I83" s="5"/>
      <c r="J83" s="5"/>
      <c r="K83" s="5"/>
      <c r="L83" s="5"/>
      <c r="M83" s="5"/>
    </row>
    <row r="84">
      <c r="C84" s="12" t="s">
        <v>80</v>
      </c>
      <c r="D84" s="9" t="s">
        <v>23</v>
      </c>
      <c r="E84" s="50">
        <v>-0.69</v>
      </c>
      <c r="F84" s="50">
        <v>-0.528</v>
      </c>
      <c r="G84" s="50">
        <f>0.405-0.984</f>
        <v>-0.579</v>
      </c>
      <c r="H84" s="50">
        <v>-0.599</v>
      </c>
      <c r="I84" s="5"/>
      <c r="J84" s="5"/>
      <c r="K84" s="5"/>
      <c r="L84" s="5"/>
      <c r="M84" s="5"/>
    </row>
    <row r="85">
      <c r="C85" s="8" t="s">
        <v>81</v>
      </c>
      <c r="D85" s="58" t="s">
        <v>23</v>
      </c>
      <c r="E85" s="8">
        <f>SUM(E81:E84)</f>
        <v>164.986</v>
      </c>
      <c r="F85" s="8">
        <f t="shared" ref="F85" si="50">SUM(F81:F84)</f>
        <v>183.115</v>
      </c>
      <c r="G85" s="8"/>
      <c r="H85" s="8">
        <f>SUM(H81:H84)</f>
        <v>205.970411</v>
      </c>
      <c r="I85" s="8"/>
      <c r="J85" s="8"/>
      <c r="K85" s="8"/>
      <c r="L85" s="8"/>
      <c r="M85" s="8"/>
    </row>
    <row r="87">
      <c r="C87" s="1" t="s">
        <v>82</v>
      </c>
      <c r="D87" s="9" t="s">
        <v>23</v>
      </c>
      <c r="E87" s="1">
        <f>+E76+E79-E85</f>
        <v>-8.653</v>
      </c>
      <c r="F87" s="1">
        <f t="shared" ref="F87" si="44">+F76+F79-F85</f>
        <v>-18.204</v>
      </c>
      <c r="G87" s="1"/>
      <c r="H87" s="1"/>
      <c r="I87" s="1"/>
      <c r="J87" s="1"/>
      <c r="K87" s="1"/>
      <c r="L87" s="1"/>
      <c r="M87" s="1"/>
    </row>
    <row r="88">
      <c r="C88" s="5"/>
      <c r="F88" s="5"/>
      <c r="G88" s="5"/>
    </row>
    <row r="89">
      <c r="C89" s="12" t="s">
        <v>83</v>
      </c>
      <c r="D89" s="9" t="s">
        <v>23</v>
      </c>
      <c r="E89" s="50">
        <v>-8.14</v>
      </c>
      <c r="F89" s="50">
        <v>-8.427</v>
      </c>
      <c r="G89" s="50">
        <v>-15.555</v>
      </c>
      <c r="H89" s="50">
        <v>-21</v>
      </c>
      <c r="I89" s="5"/>
      <c r="J89" s="5"/>
      <c r="K89" s="5"/>
      <c r="L89" s="5"/>
      <c r="M89" s="5"/>
    </row>
    <row r="90">
      <c r="C90" s="12" t="s">
        <v>84</v>
      </c>
      <c r="D90" s="9" t="s">
        <v>23</v>
      </c>
      <c r="E90" s="50">
        <v>1.8</v>
      </c>
      <c r="F90" s="50">
        <v>3.627</v>
      </c>
      <c r="G90" s="50">
        <v>3.152</v>
      </c>
      <c r="H90" s="50">
        <v>2.5</v>
      </c>
      <c r="I90" s="5"/>
      <c r="J90" s="5"/>
      <c r="K90" s="5"/>
      <c r="L90" s="5"/>
      <c r="M90" s="5"/>
    </row>
    <row r="91">
      <c r="C91" s="8" t="s">
        <v>85</v>
      </c>
      <c r="D91" s="58" t="s">
        <v>23</v>
      </c>
      <c r="E91" s="8">
        <f t="shared" ref="E91" si="42">SUM(E89:E90)</f>
        <v>-6.34</v>
      </c>
      <c r="F91" s="8"/>
      <c r="G91" s="8"/>
      <c r="H91" s="8"/>
      <c r="I91" s="8"/>
      <c r="J91" s="8"/>
      <c r="K91" s="8"/>
      <c r="L91" s="8"/>
      <c r="M91" s="8"/>
    </row>
    <row r="93">
      <c r="C93" s="1" t="s">
        <v>86</v>
      </c>
      <c r="D93" s="9" t="s">
        <v>23</v>
      </c>
      <c r="E93" s="1">
        <f>+E87+E91</f>
        <v>-14.993</v>
      </c>
      <c r="F93" s="1">
        <f>+F87+F91</f>
        <v>-23.004</v>
      </c>
      <c r="G93" s="1">
        <f>+G87+G91</f>
        <v>-59.58</v>
      </c>
      <c r="H93" s="1">
        <f>+H87+H91</f>
        <v>-74.247881</v>
      </c>
      <c r="I93" s="1"/>
      <c r="J93" s="1"/>
      <c r="K93" s="1"/>
      <c r="L93" s="1"/>
      <c r="M93" s="1"/>
    </row>
    <row r="94">
      <c r="C94" s="55"/>
      <c r="F94" s="5"/>
      <c r="G94" s="5"/>
      <c r="H94" s="5"/>
      <c r="I94" s="5"/>
      <c r="J94" s="5"/>
      <c r="K94" s="5"/>
      <c r="L94" s="5"/>
      <c r="M94" s="5"/>
    </row>
    <row r="95">
      <c r="B95" s="19"/>
      <c r="C95" s="36"/>
      <c r="D95" s="18"/>
      <c r="E95" s="17">
        <f>$E$71</f>
        <v>Historical</v>
      </c>
      <c r="F95" s="17"/>
      <c r="G95" s="15"/>
      <c r="H95" s="15"/>
      <c r="I95" s="16">
        <f>$I$71</f>
        <v>Projected</v>
      </c>
      <c r="J95" s="35"/>
      <c r="K95" s="15"/>
      <c r="L95" s="15"/>
      <c r="M95" s="15"/>
    </row>
    <row r="96">
      <c r="B96" s="29" t="s">
        <v>87</v>
      </c>
      <c r="C96" s="28"/>
      <c r="D96" s="34">
        <f>+$D$42</f>
        <v>#VALUE!</v>
      </c>
      <c r="E96" s="13">
        <f>$E$72</f>
        <v>41639</v>
      </c>
      <c r="F96" s="13">
        <f>$F$72</f>
        <v>42004</v>
      </c>
      <c r="G96" s="13">
        <f>$G$72</f>
        <v>42369</v>
      </c>
      <c r="H96" s="14">
        <f>$H$72</f>
        <v>42735</v>
      </c>
      <c r="I96" s="33">
        <f>$I$72</f>
        <v>43100</v>
      </c>
      <c r="J96" s="13">
        <f>$J$72</f>
        <v>43465</v>
      </c>
      <c r="K96" s="13">
        <f>$K$72</f>
        <v>43830</v>
      </c>
      <c r="L96" s="13">
        <f>$L$72</f>
        <v>44196</v>
      </c>
      <c r="M96" s="13">
        <f>$M$72</f>
        <v>44561</v>
      </c>
    </row>
    <row r="97">
      <c r="C97" s="55"/>
      <c r="F97" s="5"/>
      <c r="G97" s="5"/>
      <c r="H97" s="5"/>
      <c r="I97" s="5"/>
      <c r="J97" s="5"/>
      <c r="K97" s="5"/>
      <c r="L97" s="5"/>
      <c r="M97" s="5"/>
    </row>
    <row r="98">
      <c r="C98" s="12" t="s">
        <v>88</v>
      </c>
      <c r="D98" s="9" t="s">
        <v>23</v>
      </c>
      <c r="E98" s="50">
        <v>0.8</v>
      </c>
      <c r="F98" s="50">
        <v>6.4</v>
      </c>
      <c r="G98" s="50">
        <v>9.6</v>
      </c>
      <c r="H98" s="50">
        <v>11.739651</v>
      </c>
      <c r="I98" s="5"/>
      <c r="J98" s="5"/>
      <c r="K98" s="5"/>
      <c r="L98" s="5"/>
      <c r="M98" s="5"/>
    </row>
    <row r="99">
      <c r="C99" s="12" t="s">
        <v>89</v>
      </c>
      <c r="D99" s="9" t="s">
        <v>54</v>
      </c>
      <c r="E99" s="5">
        <f>+E98/(E74/E44)</f>
        <v>1.780434</v>
      </c>
      <c r="F99" s="5">
        <f>+F98/(F74/F44)</f>
        <v>13.30478</v>
      </c>
      <c r="G99" s="5">
        <f>+G98/(G74/G44)</f>
        <v>22.217713</v>
      </c>
      <c r="H99" s="5">
        <f>+H98/(H74/H44)</f>
        <v>25.000001</v>
      </c>
      <c r="I99" s="32"/>
      <c r="J99" s="32"/>
      <c r="K99" s="32"/>
      <c r="L99" s="32"/>
      <c r="M99" s="32"/>
    </row>
    <row r="100">
      <c r="C100" s="12" t="s">
        <v>90</v>
      </c>
      <c r="D100" s="6" t="s">
        <v>61</v>
      </c>
      <c r="E100" s="5">
        <f>+E98/E$74</f>
        <v>0.004878</v>
      </c>
      <c r="F100" s="5">
        <f t="shared" ref="F100" si="40">+F98/F$74</f>
        <v>0.036451</v>
      </c>
      <c r="G100" s="5"/>
      <c r="H100" s="5">
        <f>+H98/H$74</f>
        <v>0.068306</v>
      </c>
      <c r="I100" s="5"/>
      <c r="J100" s="5"/>
      <c r="K100" s="5"/>
      <c r="L100" s="5"/>
      <c r="M100" s="5"/>
    </row>
    <row r="101">
      <c r="C101" s="55"/>
      <c r="F101" s="5"/>
      <c r="G101" s="5"/>
      <c r="H101" s="5"/>
      <c r="I101" s="5"/>
      <c r="J101" s="5"/>
      <c r="K101" s="5"/>
      <c r="L101" s="5"/>
      <c r="M101" s="5"/>
    </row>
    <row r="102">
      <c r="C102" s="12" t="s">
        <v>91</v>
      </c>
      <c r="D102" s="9" t="s">
        <v>23</v>
      </c>
      <c r="E102" s="50">
        <v>6</v>
      </c>
      <c r="F102" s="50">
        <v>7.3</v>
      </c>
      <c r="G102" s="50">
        <v>6.3</v>
      </c>
      <c r="H102" s="50">
        <v>7.265202</v>
      </c>
      <c r="I102" s="5"/>
      <c r="J102" s="5"/>
      <c r="K102" s="5"/>
      <c r="L102" s="5"/>
      <c r="M102" s="5"/>
    </row>
    <row r="103">
      <c r="C103" s="12" t="s">
        <v>92</v>
      </c>
      <c r="D103" s="6" t="s">
        <v>61</v>
      </c>
      <c r="E103" s="5">
        <f>+E102/E$81</f>
        <v>0.077709</v>
      </c>
      <c r="F103" s="5">
        <f>+F102/F$81</f>
        <v>0.083982</v>
      </c>
      <c r="G103" s="5">
        <f>+G102/G$81</f>
        <v>0.07137</v>
      </c>
      <c r="H103" s="5">
        <f>+H102/H$81</f>
        <v>0.077687</v>
      </c>
      <c r="I103" s="56"/>
      <c r="J103" s="56"/>
      <c r="K103" s="56"/>
      <c r="L103" s="56"/>
      <c r="M103" s="56"/>
    </row>
    <row r="104">
      <c r="C104" s="55"/>
      <c r="F104" s="5"/>
      <c r="G104" s="5"/>
      <c r="H104" s="5"/>
      <c r="I104" s="5"/>
      <c r="J104" s="5"/>
      <c r="K104" s="5"/>
      <c r="L104" s="5"/>
      <c r="M104" s="5"/>
    </row>
    <row r="105">
      <c r="C105" s="12" t="s">
        <v>93</v>
      </c>
      <c r="D105" s="9" t="s">
        <v>23</v>
      </c>
      <c r="E105" s="50">
        <v>4.5</v>
      </c>
      <c r="F105" s="50">
        <v>5.6</v>
      </c>
      <c r="G105" s="50">
        <v>5.9</v>
      </c>
      <c r="H105" s="50">
        <v>5.908676</v>
      </c>
      <c r="I105" s="5"/>
      <c r="J105" s="5"/>
      <c r="K105" s="5"/>
      <c r="L105" s="5"/>
      <c r="M105" s="5"/>
    </row>
    <row r="106">
      <c r="C106" s="12" t="s">
        <v>92</v>
      </c>
      <c r="D106" s="6" t="s">
        <v>61</v>
      </c>
      <c r="E106" s="5">
        <f>+E105/E$81</f>
        <v>0.058282</v>
      </c>
      <c r="F106" s="5">
        <f>+F105/F$81</f>
        <v>0.064425</v>
      </c>
      <c r="G106" s="5">
        <f>+G105/G$81</f>
        <v>0.066839</v>
      </c>
      <c r="H106" s="5">
        <f>+H105/H$81</f>
        <v>0.063182</v>
      </c>
      <c r="I106" s="56"/>
      <c r="J106" s="56"/>
      <c r="K106" s="56"/>
      <c r="L106" s="56"/>
      <c r="M106" s="56"/>
    </row>
    <row r="107">
      <c r="C107" s="55"/>
      <c r="F107" s="5"/>
      <c r="G107" s="5"/>
      <c r="H107" s="5"/>
      <c r="I107" s="5"/>
      <c r="J107" s="5"/>
      <c r="K107" s="5"/>
      <c r="L107" s="5"/>
      <c r="M107" s="5"/>
    </row>
    <row r="108">
      <c r="C108" s="12" t="s">
        <v>94</v>
      </c>
      <c r="D108" s="9" t="s">
        <v>23</v>
      </c>
      <c r="E108" s="50">
        <v>12.4</v>
      </c>
      <c r="F108" s="50">
        <v>16</v>
      </c>
      <c r="G108" s="50">
        <v>15.5</v>
      </c>
      <c r="H108" s="50">
        <v>16.218096</v>
      </c>
      <c r="I108" s="5"/>
      <c r="J108" s="5"/>
      <c r="K108" s="5"/>
      <c r="L108" s="5"/>
      <c r="M108" s="5"/>
    </row>
    <row r="109">
      <c r="C109" s="12" t="s">
        <v>92</v>
      </c>
      <c r="D109" s="6" t="s">
        <v>61</v>
      </c>
      <c r="E109" s="5">
        <f>+E108/E$81</f>
        <v>0.160599</v>
      </c>
      <c r="F109" s="5">
        <f>+F108/F$81</f>
        <v>0.184071</v>
      </c>
      <c r="G109" s="5">
        <f>+G108/G$81</f>
        <v>0.175594</v>
      </c>
      <c r="H109" s="5">
        <f>+H108/H$81</f>
        <v>0.173421</v>
      </c>
      <c r="I109" s="56"/>
      <c r="J109" s="56"/>
      <c r="K109" s="56"/>
      <c r="L109" s="56"/>
      <c r="M109" s="56"/>
    </row>
    <row r="110">
      <c r="C110" s="55"/>
      <c r="F110" s="5"/>
      <c r="G110" s="5"/>
      <c r="H110" s="5"/>
      <c r="I110" s="5"/>
      <c r="J110" s="5"/>
      <c r="K110" s="5"/>
      <c r="L110" s="5"/>
      <c r="M110" s="5"/>
    </row>
    <row r="111">
      <c r="C111" s="12" t="s">
        <v>95</v>
      </c>
      <c r="D111" s="9" t="s">
        <v>23</v>
      </c>
      <c r="E111" s="50">
        <v>3.3</v>
      </c>
      <c r="F111" s="50">
        <v>3.3</v>
      </c>
      <c r="G111" s="50">
        <v>2.4</v>
      </c>
      <c r="H111" s="50">
        <v>2.406159</v>
      </c>
      <c r="I111" s="5"/>
      <c r="J111" s="5"/>
      <c r="K111" s="5"/>
      <c r="L111" s="5"/>
      <c r="M111" s="5"/>
    </row>
    <row r="112">
      <c r="C112" s="12" t="s">
        <v>90</v>
      </c>
      <c r="D112" s="6" t="s">
        <v>61</v>
      </c>
      <c r="E112" s="5">
        <f>+E111/E$74</f>
        <v>0.020121</v>
      </c>
      <c r="F112" s="5">
        <f t="shared" ref="F112" si="38">+F111/F$74</f>
        <v>0.018795</v>
      </c>
      <c r="G112" s="5"/>
      <c r="H112" s="5"/>
      <c r="I112" s="32">
        <v>0.014</v>
      </c>
      <c r="J112" s="32">
        <v>0.013</v>
      </c>
      <c r="K112" s="32">
        <v>0.013</v>
      </c>
      <c r="L112" s="32">
        <v>0.012</v>
      </c>
      <c r="M112" s="32">
        <v>0.012</v>
      </c>
    </row>
    <row r="113">
      <c r="C113" s="55"/>
      <c r="F113" s="5"/>
      <c r="G113" s="5"/>
      <c r="H113" s="5"/>
      <c r="I113" s="5"/>
      <c r="J113" s="5"/>
      <c r="K113" s="5"/>
      <c r="L113" s="5"/>
      <c r="M113" s="5"/>
    </row>
    <row r="114">
      <c r="C114" s="12" t="s">
        <v>96</v>
      </c>
      <c r="D114" s="9" t="s">
        <v>23</v>
      </c>
      <c r="E114" s="50">
        <v>0.9</v>
      </c>
      <c r="F114" s="50">
        <v>1.4</v>
      </c>
      <c r="G114" s="50">
        <v>0.6</v>
      </c>
      <c r="H114" s="50">
        <v>0.65463</v>
      </c>
      <c r="I114" s="5"/>
      <c r="J114" s="5"/>
      <c r="K114" s="5"/>
      <c r="L114" s="5"/>
      <c r="M114" s="5"/>
    </row>
    <row r="115">
      <c r="C115" s="12" t="s">
        <v>92</v>
      </c>
      <c r="D115" s="6" t="s">
        <v>61</v>
      </c>
      <c r="E115" s="5">
        <f>+E114/E$81</f>
        <v>0.011656</v>
      </c>
      <c r="F115" s="5">
        <f>+F114/F$81</f>
        <v>0.016106</v>
      </c>
      <c r="G115" s="5">
        <f>+G114/G$81</f>
        <v>0.006797</v>
      </c>
      <c r="H115" s="5">
        <f>+H114/H$81</f>
        <v>0.007</v>
      </c>
      <c r="I115" s="32"/>
      <c r="J115" s="32"/>
      <c r="K115" s="32"/>
      <c r="L115" s="32"/>
      <c r="M115" s="32"/>
    </row>
    <row r="116">
      <c r="C116" s="55"/>
      <c r="F116" s="5"/>
      <c r="G116" s="5"/>
      <c r="H116" s="5"/>
      <c r="I116" s="5"/>
      <c r="J116" s="5"/>
      <c r="K116" s="5"/>
      <c r="L116" s="5"/>
      <c r="M116" s="5"/>
    </row>
    <row r="117">
      <c r="C117" s="12" t="s">
        <v>97</v>
      </c>
      <c r="D117" s="9" t="s">
        <v>23</v>
      </c>
      <c r="E117" s="5">
        <f>+E98+E102+E105-E108-E111-E114</f>
        <v>-5.3</v>
      </c>
      <c r="F117" s="5">
        <f t="shared" ref="F117" si="53">+F98+F102+F105-F108-F111-F114</f>
        <v>-1.4</v>
      </c>
      <c r="G117" s="5"/>
      <c r="H117" s="5">
        <f>+H98+H102+H105-H108-H111-H114</f>
        <v>5.634644</v>
      </c>
      <c r="I117" s="5"/>
      <c r="J117" s="5"/>
      <c r="K117" s="5"/>
      <c r="L117" s="5"/>
      <c r="M117" s="5"/>
    </row>
    <row r="118">
      <c r="C118" s="12" t="s">
        <v>98</v>
      </c>
      <c r="D118" s="9" t="s">
        <v>23</v>
      </c>
      <c r="E118" s="50">
        <v>6.3</v>
      </c>
      <c r="F118" s="5">
        <f>+E117-F117</f>
        <v>-3.9</v>
      </c>
      <c r="G118" s="5">
        <f>+F117-G117</f>
        <v>-4.7</v>
      </c>
      <c r="H118" s="5">
        <f>+G117-H117</f>
        <v>-2.334644</v>
      </c>
      <c r="I118" s="5"/>
      <c r="J118" s="5"/>
      <c r="K118" s="5"/>
      <c r="L118" s="5"/>
      <c r="M118" s="5"/>
    </row>
    <row r="119">
      <c r="C119" s="12" t="s">
        <v>99</v>
      </c>
      <c r="D119" s="6" t="s">
        <v>61</v>
      </c>
      <c r="E119" s="5">
        <f>+E118/(E74-220.8)</f>
        <v>-0.110925</v>
      </c>
      <c r="F119" s="5">
        <f t="shared" ref="F119" si="37">+F118/(F74-E74)</f>
        <v>-0.33705</v>
      </c>
      <c r="G119" s="5"/>
      <c r="H119" s="5"/>
      <c r="I119" s="5"/>
      <c r="J119" s="5"/>
      <c r="K119" s="5"/>
      <c r="L119" s="5"/>
      <c r="M119" s="5"/>
    </row>
    <row r="120">
      <c r="C120" s="55"/>
      <c r="F120" s="5"/>
      <c r="G120" s="5"/>
      <c r="H120" s="5"/>
      <c r="I120" s="5"/>
      <c r="J120" s="5"/>
      <c r="K120" s="5"/>
      <c r="L120" s="5"/>
      <c r="M120" s="5"/>
    </row>
    <row r="121">
      <c r="B121" s="19"/>
      <c r="C121" s="36"/>
      <c r="D121" s="18"/>
      <c r="E121" s="17">
        <f>$E$71</f>
        <v>Historical</v>
      </c>
      <c r="F121" s="17"/>
      <c r="G121" s="15"/>
      <c r="H121" s="15"/>
      <c r="I121" s="16">
        <f>$I$71</f>
        <v>Projected</v>
      </c>
      <c r="J121" s="35"/>
      <c r="K121" s="15"/>
      <c r="L121" s="15"/>
      <c r="M121" s="15"/>
    </row>
    <row r="122">
      <c r="B122" s="29" t="s">
        <v>100</v>
      </c>
      <c r="C122" s="28"/>
      <c r="D122" s="34">
        <f>+$D$42</f>
        <v>#VALUE!</v>
      </c>
      <c r="E122" s="13">
        <f>$E$72</f>
        <v>41639</v>
      </c>
      <c r="F122" s="13">
        <f>$F$72</f>
        <v>42004</v>
      </c>
      <c r="G122" s="13">
        <f>$G$72</f>
        <v>42369</v>
      </c>
      <c r="H122" s="14">
        <f>$H$72</f>
        <v>42735</v>
      </c>
      <c r="I122" s="33">
        <f>$I$72</f>
        <v>43100</v>
      </c>
      <c r="J122" s="13">
        <f>$J$72</f>
        <v>43465</v>
      </c>
      <c r="K122" s="13">
        <f>$K$72</f>
        <v>43830</v>
      </c>
      <c r="L122" s="13">
        <f>$L$72</f>
        <v>44196</v>
      </c>
      <c r="M122" s="13">
        <f>$M$72</f>
        <v>44561</v>
      </c>
    </row>
    <row r="123">
      <c r="C123" s="1"/>
      <c r="F123" s="1"/>
      <c r="G123" s="1"/>
      <c r="H123" s="1"/>
      <c r="I123" s="1"/>
      <c r="J123" s="1"/>
      <c r="K123" s="1"/>
      <c r="L123" s="1"/>
      <c r="M123" s="1"/>
    </row>
    <row r="124">
      <c r="C124" s="1" t="s">
        <v>101</v>
      </c>
      <c r="D124" s="9" t="s">
        <v>23</v>
      </c>
      <c r="E124" s="53">
        <f t="shared" ref="E124" si="43">+E87+E82</f>
        <v>56.088</v>
      </c>
      <c r="F124" s="53"/>
      <c r="G124" s="53"/>
      <c r="H124" s="53"/>
      <c r="I124" s="53"/>
      <c r="J124" s="53"/>
      <c r="K124" s="53"/>
      <c r="L124" s="53"/>
      <c r="M124" s="53"/>
    </row>
    <row r="125">
      <c r="C125" s="12" t="s">
        <v>102</v>
      </c>
      <c r="D125" s="9" t="s">
        <v>23</v>
      </c>
      <c r="E125" s="50">
        <v>-198.581</v>
      </c>
      <c r="F125" s="50">
        <v>-111.702</v>
      </c>
      <c r="G125" s="50">
        <v>-155.352</v>
      </c>
      <c r="H125" s="50">
        <v>-203.8995</v>
      </c>
      <c r="I125" s="5"/>
      <c r="J125" s="5"/>
      <c r="K125" s="5"/>
      <c r="L125" s="5"/>
      <c r="M125" s="5"/>
    </row>
    <row r="126">
      <c r="C126" s="12" t="s">
        <v>103</v>
      </c>
      <c r="D126" s="9" t="s">
        <v>23</v>
      </c>
      <c r="E126" s="20">
        <f>+E118</f>
        <v>6.3</v>
      </c>
      <c r="F126" s="20">
        <f t="shared" ref="F126" si="39">+F118</f>
        <v>-3.9</v>
      </c>
      <c r="G126" s="20"/>
      <c r="H126" s="20">
        <f>+H118</f>
        <v>-2.334644</v>
      </c>
      <c r="I126" s="20"/>
      <c r="J126" s="20"/>
      <c r="K126" s="20"/>
      <c r="L126" s="20"/>
      <c r="M126" s="20"/>
    </row>
    <row r="127">
      <c r="C127" s="12" t="s">
        <v>104</v>
      </c>
      <c r="D127" s="9" t="s">
        <v>23</v>
      </c>
      <c r="E127" s="20">
        <f t="shared" ref="E127" si="33">+E89</f>
        <v>-8.14</v>
      </c>
      <c r="F127" s="20"/>
      <c r="G127" s="20"/>
      <c r="H127" s="20"/>
      <c r="I127" s="5"/>
      <c r="J127" s="5"/>
      <c r="K127" s="5"/>
      <c r="L127" s="5"/>
      <c r="M127" s="5"/>
    </row>
    <row r="128">
      <c r="C128" s="12" t="s">
        <v>105</v>
      </c>
      <c r="D128" s="10" t="s">
        <v>23</v>
      </c>
      <c r="E128" s="54"/>
      <c r="F128" s="54"/>
      <c r="G128" s="54"/>
      <c r="H128" s="54"/>
      <c r="I128" s="2"/>
      <c r="J128" s="2"/>
      <c r="K128" s="2"/>
      <c r="L128" s="2"/>
      <c r="M128" s="2"/>
    </row>
    <row r="129">
      <c r="C129" s="8" t="s">
        <v>106</v>
      </c>
      <c r="D129" s="9" t="s">
        <v>23</v>
      </c>
      <c r="E129" s="53">
        <f>SUM(E124:E128)</f>
        <v>-142.533</v>
      </c>
      <c r="F129" s="53">
        <f t="shared" ref="F129" si="30">SUM(F124:F128)</f>
        <v>-68.103</v>
      </c>
      <c r="G129" s="53"/>
      <c r="H129" s="53">
        <f>SUM(H124:H128)</f>
        <v>-194.930131</v>
      </c>
      <c r="I129" s="53"/>
      <c r="J129" s="53"/>
      <c r="K129" s="53"/>
      <c r="L129" s="53"/>
      <c r="M129" s="53"/>
    </row>
    <row r="130">
      <c r="C130" s="1"/>
      <c r="F130" s="1"/>
      <c r="G130" s="1"/>
      <c r="H130" s="1"/>
      <c r="I130" s="1"/>
      <c r="J130" s="1"/>
      <c r="K130" s="1"/>
      <c r="L130" s="1"/>
      <c r="M130" s="1"/>
    </row>
    <row r="131">
      <c r="C131" s="5" t="s">
        <v>107</v>
      </c>
      <c r="D131" s="9" t="s">
        <v>23</v>
      </c>
      <c r="E131" s="9"/>
      <c r="F131" s="1"/>
      <c r="G131" s="1"/>
      <c r="H131" s="1"/>
      <c r="I131" s="5"/>
      <c r="J131" s="5"/>
      <c r="K131" s="5"/>
      <c r="L131" s="5"/>
      <c r="M131" s="5"/>
    </row>
    <row r="132">
      <c r="C132" s="12" t="s">
        <v>108</v>
      </c>
      <c r="D132" s="9" t="s">
        <v>23</v>
      </c>
      <c r="E132" s="9"/>
      <c r="F132" s="1"/>
      <c r="G132" s="1"/>
      <c r="H132" s="1"/>
      <c r="I132" s="5"/>
      <c r="J132" s="5"/>
      <c r="K132" s="5"/>
      <c r="L132" s="5"/>
      <c r="M132" s="5"/>
    </row>
    <row r="133">
      <c r="C133" s="12" t="s">
        <v>109</v>
      </c>
      <c r="D133" s="10" t="s">
        <v>23</v>
      </c>
      <c r="E133" s="10"/>
      <c r="F133" s="1"/>
      <c r="G133" s="1"/>
      <c r="H133" s="1"/>
      <c r="I133" s="5"/>
      <c r="J133" s="5"/>
      <c r="K133" s="5"/>
      <c r="L133" s="5"/>
      <c r="M133" s="5"/>
    </row>
    <row r="134">
      <c r="C134" s="8" t="s">
        <v>110</v>
      </c>
      <c r="D134" s="9" t="s">
        <v>23</v>
      </c>
      <c r="E134" s="9"/>
      <c r="F134" s="8"/>
      <c r="G134" s="8"/>
      <c r="H134" s="38">
        <f>-K11-D27</f>
        <v>50</v>
      </c>
      <c r="I134" s="8"/>
      <c r="J134" s="8"/>
      <c r="K134" s="8"/>
      <c r="L134" s="8"/>
      <c r="M134" s="8"/>
    </row>
    <row r="135">
      <c r="C135" s="1"/>
      <c r="I135" s="5"/>
      <c r="J135" s="5"/>
      <c r="K135" s="5"/>
      <c r="L135" s="5"/>
      <c r="M135" s="5"/>
    </row>
    <row r="136">
      <c r="B136" s="19"/>
      <c r="C136" s="36"/>
      <c r="D136" s="18"/>
      <c r="E136" s="17">
        <f>$E$71</f>
        <v>Historical</v>
      </c>
      <c r="F136" s="17"/>
      <c r="G136" s="15"/>
      <c r="H136" s="15"/>
      <c r="I136" s="16">
        <f>$I$71</f>
        <v>Projected</v>
      </c>
      <c r="J136" s="35"/>
      <c r="K136" s="15"/>
      <c r="L136" s="15"/>
      <c r="M136" s="15"/>
    </row>
    <row r="137">
      <c r="B137" s="29" t="s">
        <v>111</v>
      </c>
      <c r="C137" s="28"/>
      <c r="D137" s="34">
        <f>+$D$42</f>
        <v>#VALUE!</v>
      </c>
      <c r="E137" s="13">
        <f>$E$72</f>
        <v>41639</v>
      </c>
      <c r="F137" s="13">
        <f>$F$72</f>
        <v>42004</v>
      </c>
      <c r="G137" s="13">
        <f>$G$72</f>
        <v>42369</v>
      </c>
      <c r="H137" s="14">
        <f>$H$72</f>
        <v>42735</v>
      </c>
      <c r="I137" s="33">
        <f>$I$72</f>
        <v>43100</v>
      </c>
      <c r="J137" s="13">
        <f>$J$72</f>
        <v>43465</v>
      </c>
      <c r="K137" s="13">
        <f>$K$72</f>
        <v>43830</v>
      </c>
      <c r="L137" s="13">
        <f>$L$72</f>
        <v>44196</v>
      </c>
      <c r="M137" s="13">
        <f>$M$72</f>
        <v>44561</v>
      </c>
    </row>
    <row r="138">
      <c r="B138" s="48"/>
      <c r="C138" s="47"/>
      <c r="D138" s="46"/>
      <c r="E138" s="46"/>
      <c r="F138" s="45"/>
      <c r="G138" s="45"/>
      <c r="H138" s="45"/>
      <c r="I138" s="45"/>
      <c r="J138" s="45"/>
      <c r="K138" s="45"/>
      <c r="L138" s="45"/>
      <c r="M138" s="45"/>
    </row>
    <row r="139">
      <c r="B139" s="48"/>
      <c r="C139" s="11" t="s">
        <v>112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</row>
    <row r="140">
      <c r="B140" s="48"/>
      <c r="C140" s="51" t="s">
        <v>113</v>
      </c>
      <c r="D140" s="6" t="s">
        <v>61</v>
      </c>
      <c r="E140" s="6"/>
      <c r="F140" s="45"/>
      <c r="G140" s="45"/>
      <c r="H140" s="45"/>
      <c r="I140" s="50">
        <v>0.012</v>
      </c>
      <c r="J140" s="50">
        <v>0.015</v>
      </c>
      <c r="K140" s="50">
        <v>0.018</v>
      </c>
      <c r="L140" s="50">
        <v>0.02</v>
      </c>
      <c r="M140" s="50">
        <v>0.022</v>
      </c>
    </row>
    <row r="141">
      <c r="B141" s="48"/>
      <c r="C141" s="51"/>
      <c r="D141" s="6"/>
      <c r="E141" s="6"/>
      <c r="F141" s="45"/>
      <c r="G141" s="45"/>
      <c r="H141" s="45"/>
      <c r="I141" s="50"/>
      <c r="J141" s="50"/>
      <c r="K141" s="50"/>
      <c r="L141" s="50"/>
      <c r="M141" s="50"/>
    </row>
    <row r="142">
      <c r="B142" s="48"/>
      <c r="C142" s="12">
        <f>+$C$23</f>
        <v>#VALUE!</v>
      </c>
      <c r="D142" s="6" t="s">
        <v>61</v>
      </c>
      <c r="E142" s="46"/>
      <c r="F142" s="45"/>
      <c r="G142" s="45"/>
      <c r="H142" s="45"/>
      <c r="I142" s="20">
        <f>MAX($D35,I$140)+$E35</f>
        <v>0.065</v>
      </c>
      <c r="J142" s="20">
        <f t="shared" ref="J142" si="35">MAX($D35,J$140)+$E35</f>
        <v>0.065</v>
      </c>
      <c r="K142" s="20"/>
      <c r="L142" s="20"/>
      <c r="M142" s="20"/>
    </row>
    <row r="143">
      <c r="B143" s="48"/>
      <c r="C143" s="12">
        <f>+$C$24</f>
        <v>#VALUE!</v>
      </c>
      <c r="D143" s="6" t="s">
        <v>61</v>
      </c>
      <c r="E143" s="46"/>
      <c r="F143" s="45"/>
      <c r="G143" s="45"/>
      <c r="H143" s="45"/>
      <c r="I143" s="20">
        <f t="shared" ref="I143" si="23">MAX($D36,I$140)+$E36</f>
        <v>0.08</v>
      </c>
      <c r="J143" s="20"/>
      <c r="K143" s="20"/>
      <c r="L143" s="20"/>
      <c r="M143" s="20"/>
    </row>
    <row r="144">
      <c r="B144" s="48"/>
      <c r="C144" s="12">
        <f>+$C$25</f>
        <v>#VALUE!</v>
      </c>
      <c r="D144" s="6" t="s">
        <v>61</v>
      </c>
      <c r="E144" s="46"/>
      <c r="F144" s="45"/>
      <c r="G144" s="45"/>
      <c r="H144" s="45"/>
      <c r="I144" s="20">
        <f>+$F37+$G37</f>
        <v>0.11</v>
      </c>
      <c r="J144" s="20">
        <f t="shared" ref="J144" si="34">+$F37+$G37</f>
        <v>0.11</v>
      </c>
      <c r="K144" s="20"/>
      <c r="L144" s="20"/>
      <c r="M144" s="20"/>
    </row>
    <row r="145">
      <c r="B145" s="48"/>
      <c r="C145" s="12">
        <f>+$C$26</f>
        <v>#VALUE!</v>
      </c>
      <c r="D145" s="6" t="s">
        <v>61</v>
      </c>
      <c r="E145" s="46"/>
      <c r="F145" s="45"/>
      <c r="G145" s="45"/>
      <c r="H145" s="45"/>
      <c r="I145" s="20">
        <f t="shared" ref="I145" si="22">+$F38+$G38</f>
        <v>0.12</v>
      </c>
      <c r="J145" s="20"/>
      <c r="K145" s="20"/>
      <c r="L145" s="20"/>
      <c r="M145" s="20"/>
    </row>
    <row r="146">
      <c r="B146" s="48"/>
      <c r="C146" s="12" t="s">
        <v>49</v>
      </c>
      <c r="D146" s="6" t="s">
        <v>61</v>
      </c>
      <c r="E146" s="46"/>
      <c r="F146" s="45"/>
      <c r="G146" s="45"/>
      <c r="H146" s="45"/>
      <c r="I146" s="20">
        <f>+$E39+I$140</f>
        <v>0.032</v>
      </c>
      <c r="J146" s="20">
        <f t="shared" ref="J146" si="27">+$E39+J$140</f>
        <v>0.035</v>
      </c>
      <c r="K146" s="20"/>
      <c r="L146" s="20"/>
      <c r="M146" s="20"/>
    </row>
    <row r="147">
      <c r="B147" s="48"/>
      <c r="C147" s="47"/>
      <c r="D147" s="46"/>
      <c r="E147" s="46"/>
      <c r="F147" s="45"/>
      <c r="G147" s="45"/>
      <c r="H147" s="45"/>
      <c r="I147" s="45"/>
      <c r="J147" s="45"/>
      <c r="K147" s="45"/>
      <c r="L147" s="45"/>
      <c r="M147" s="45"/>
    </row>
    <row r="148">
      <c r="C148" s="11" t="s">
        <v>114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</row>
    <row r="149">
      <c r="C149" s="12" t="s">
        <v>107</v>
      </c>
      <c r="D149" s="9" t="s">
        <v>23</v>
      </c>
      <c r="E149" s="9"/>
      <c r="I149" s="5">
        <f>+H134</f>
        <v>50</v>
      </c>
      <c r="J149" s="5">
        <f t="shared" ref="J149" si="41">+I134</f>
        <v>0</v>
      </c>
      <c r="K149" s="5"/>
      <c r="L149" s="5"/>
      <c r="M149" s="5"/>
    </row>
    <row r="150">
      <c r="C150" s="12" t="s">
        <v>108</v>
      </c>
      <c r="D150" s="9" t="s">
        <v>23</v>
      </c>
      <c r="E150" s="9"/>
      <c r="I150" s="5">
        <f>+I129</f>
        <v>0</v>
      </c>
      <c r="J150" s="5">
        <f t="shared" ref="J150" si="20">+J129</f>
        <v>0</v>
      </c>
      <c r="K150" s="5"/>
      <c r="L150" s="5"/>
      <c r="M150" s="5"/>
    </row>
    <row r="151">
      <c r="C151" s="12" t="s">
        <v>115</v>
      </c>
      <c r="D151" s="9" t="s">
        <v>23</v>
      </c>
      <c r="E151" s="9"/>
      <c r="I151" s="5">
        <f>+I162</f>
        <v>-0.29804</v>
      </c>
      <c r="J151" s="5">
        <f t="shared" ref="J151" si="61">+J162</f>
        <v>-0.29804</v>
      </c>
      <c r="K151" s="5"/>
      <c r="L151" s="5"/>
      <c r="M151" s="5"/>
    </row>
    <row r="152">
      <c r="C152" s="12" t="s">
        <v>116</v>
      </c>
      <c r="D152" s="10" t="s">
        <v>23</v>
      </c>
      <c r="E152" s="10"/>
      <c r="I152" s="2">
        <f>-Min_Cash</f>
        <v>-50</v>
      </c>
      <c r="J152" s="2">
        <f>-Min_Cash</f>
        <v>-50</v>
      </c>
      <c r="K152" s="2">
        <f>-Min_Cash</f>
        <v>-50</v>
      </c>
      <c r="L152" s="2">
        <f>-Min_Cash</f>
        <v>-50</v>
      </c>
      <c r="M152" s="2">
        <f>-Min_Cash</f>
        <v>-50</v>
      </c>
    </row>
    <row r="153">
      <c r="C153" s="39" t="s">
        <v>117</v>
      </c>
      <c r="D153" s="9" t="s">
        <v>23</v>
      </c>
      <c r="E153" s="9"/>
      <c r="F153" s="31"/>
      <c r="G153" s="31"/>
      <c r="H153" s="31"/>
      <c r="I153" s="1">
        <f>SUM(I149:I152)</f>
        <v>-0.29804</v>
      </c>
      <c r="J153" s="1">
        <f t="shared" ref="J153" si="19">SUM(J149:J152)</f>
        <v>-50.29804</v>
      </c>
      <c r="K153" s="1"/>
      <c r="L153" s="1"/>
      <c r="M153" s="1"/>
    </row>
    <row r="154">
      <c r="C154" s="12"/>
    </row>
    <row r="155">
      <c r="C155" s="12" t="s">
        <v>118</v>
      </c>
      <c r="D155" s="9" t="s">
        <v>23</v>
      </c>
      <c r="E155" s="9"/>
      <c r="I155" s="5">
        <f>+H157</f>
        <v>0</v>
      </c>
      <c r="J155" s="5">
        <f t="shared" ref="J155" si="26">+I157</f>
        <v>0.29804</v>
      </c>
      <c r="K155" s="5"/>
      <c r="L155" s="5"/>
      <c r="M155" s="5"/>
    </row>
    <row r="156">
      <c r="C156" s="4" t="s">
        <v>119</v>
      </c>
      <c r="D156" s="10" t="s">
        <v>23</v>
      </c>
      <c r="E156" s="10"/>
      <c r="F156" s="2"/>
      <c r="G156" s="2"/>
      <c r="H156" s="2"/>
      <c r="I156" s="2">
        <f>IF(I153&gt;0,-MIN(I153,I155),-I153)</f>
        <v>0.29804</v>
      </c>
      <c r="J156" s="2">
        <f t="shared" ref="J156" si="18">IF(J153&gt;0,-MIN(J153,J155),-J153)</f>
        <v>50.29804</v>
      </c>
      <c r="K156" s="2"/>
      <c r="L156" s="2"/>
      <c r="M156" s="2"/>
    </row>
    <row r="157">
      <c r="C157" s="42" t="s">
        <v>120</v>
      </c>
      <c r="D157" s="9" t="s">
        <v>23</v>
      </c>
      <c r="E157" s="9"/>
      <c r="H157" s="41">
        <f>+D23</f>
        <v>0</v>
      </c>
      <c r="I157" s="1">
        <f>SUM(I155:I156)</f>
        <v>0.29804</v>
      </c>
      <c r="J157" s="1">
        <f t="shared" ref="J157" si="58">SUM(J155:J156)</f>
        <v>50.59608</v>
      </c>
      <c r="K157" s="1"/>
      <c r="L157" s="1"/>
      <c r="M157" s="1"/>
    </row>
    <row r="158">
      <c r="C158" s="12" t="s">
        <v>121</v>
      </c>
      <c r="D158" s="9" t="s">
        <v>23</v>
      </c>
      <c r="E158" s="9"/>
      <c r="I158" s="5">
        <f>+H157*I142</f>
        <v>0</v>
      </c>
      <c r="J158" s="5">
        <f t="shared" ref="J158" si="64">+I157*J142</f>
        <v>0.019373</v>
      </c>
      <c r="K158" s="5"/>
      <c r="L158" s="5"/>
      <c r="M158" s="5"/>
    </row>
    <row r="159">
      <c r="C159" s="12"/>
    </row>
    <row r="160">
      <c r="C160" s="11" t="s">
        <v>28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</row>
    <row r="161">
      <c r="C161" s="12" t="s">
        <v>122</v>
      </c>
      <c r="D161" s="9" t="s">
        <v>23</v>
      </c>
      <c r="E161" s="9"/>
      <c r="I161" s="5">
        <f>+H163</f>
        <v>29.804013</v>
      </c>
      <c r="J161" s="5">
        <f t="shared" ref="J161" si="48">+I163</f>
        <v>29.505973</v>
      </c>
      <c r="K161" s="5"/>
      <c r="L161" s="5"/>
      <c r="M161" s="5"/>
    </row>
    <row r="162">
      <c r="C162" s="12" t="s">
        <v>115</v>
      </c>
      <c r="D162" s="10" t="s">
        <v>23</v>
      </c>
      <c r="E162" s="10"/>
      <c r="I162" s="2">
        <f>-$H163*$H36</f>
        <v>-0.29804</v>
      </c>
      <c r="J162" s="2">
        <f t="shared" ref="J162" si="17">-$H163*$H36</f>
        <v>-0.29804</v>
      </c>
      <c r="K162" s="2"/>
      <c r="L162" s="2"/>
      <c r="M162" s="2"/>
    </row>
    <row r="163">
      <c r="C163" s="39" t="s">
        <v>123</v>
      </c>
      <c r="D163" s="9" t="s">
        <v>23</v>
      </c>
      <c r="E163" s="9"/>
      <c r="F163" s="31"/>
      <c r="G163" s="31"/>
      <c r="H163" s="38">
        <f>+D24</f>
        <v>29.804013</v>
      </c>
      <c r="I163" s="1">
        <f>SUM(I161:I162)</f>
        <v>29.505973</v>
      </c>
      <c r="J163" s="1">
        <f t="shared" ref="J163" si="16">SUM(J161:J162)</f>
        <v>29.207933</v>
      </c>
      <c r="K163" s="1"/>
      <c r="L163" s="1"/>
      <c r="M163" s="1"/>
    </row>
    <row r="164">
      <c r="C164" s="12" t="s">
        <v>121</v>
      </c>
      <c r="D164" s="9" t="s">
        <v>23</v>
      </c>
      <c r="E164" s="9"/>
      <c r="I164" s="5">
        <f>+H163*I143</f>
        <v>2.384321</v>
      </c>
      <c r="J164" s="5">
        <f t="shared" ref="J164" si="29">+I163*J143</f>
        <v>2.360478</v>
      </c>
      <c r="K164" s="5"/>
      <c r="L164" s="5"/>
      <c r="M164" s="5"/>
    </row>
    <row r="165">
      <c r="C165" s="12"/>
      <c r="I165" s="20"/>
      <c r="J165" s="20"/>
      <c r="K165" s="20"/>
      <c r="L165" s="20"/>
      <c r="M165" s="20"/>
    </row>
    <row r="166">
      <c r="C166" s="11" t="s">
        <v>30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</row>
    <row r="167">
      <c r="C167" s="12" t="s">
        <v>124</v>
      </c>
      <c r="D167" s="9" t="s">
        <v>23</v>
      </c>
      <c r="E167" s="9"/>
      <c r="I167" s="5">
        <f>+H169</f>
        <v>89.412039</v>
      </c>
      <c r="J167" s="5">
        <f t="shared" ref="J167" si="15">+I169</f>
        <v>92.0944</v>
      </c>
      <c r="K167" s="5"/>
      <c r="L167" s="5"/>
      <c r="M167" s="5"/>
    </row>
    <row r="168">
      <c r="C168" s="12" t="s">
        <v>125</v>
      </c>
      <c r="D168" s="10" t="s">
        <v>23</v>
      </c>
      <c r="E168" s="10"/>
      <c r="I168" s="2">
        <f>+H169*$G37</f>
        <v>2.682361</v>
      </c>
      <c r="J168" s="2">
        <f t="shared" ref="J168" si="21">+I169*$G37</f>
        <v>2.762832</v>
      </c>
      <c r="K168" s="2"/>
      <c r="L168" s="2"/>
      <c r="M168" s="2"/>
    </row>
    <row r="169">
      <c r="C169" s="39" t="s">
        <v>126</v>
      </c>
      <c r="D169" s="9" t="s">
        <v>23</v>
      </c>
      <c r="E169" s="9"/>
      <c r="F169" s="31"/>
      <c r="G169" s="31"/>
      <c r="H169" s="38">
        <f>+D25</f>
        <v>89.412039</v>
      </c>
      <c r="I169" s="1">
        <f>SUM(I167:I168)</f>
        <v>92.0944</v>
      </c>
      <c r="J169" s="1">
        <f t="shared" ref="J169" si="13">SUM(J167:J168)</f>
        <v>94.857232</v>
      </c>
      <c r="K169" s="1"/>
      <c r="L169" s="1"/>
      <c r="M169" s="1"/>
    </row>
    <row r="170">
      <c r="C170" s="12" t="s">
        <v>121</v>
      </c>
      <c r="D170" s="9" t="s">
        <v>23</v>
      </c>
      <c r="E170" s="9"/>
      <c r="I170" s="5">
        <f>+H169*$F37</f>
        <v>7.152963</v>
      </c>
      <c r="J170" s="5">
        <f t="shared" ref="J170" si="12">+I169*$F37</f>
        <v>7.367552</v>
      </c>
      <c r="K170" s="5"/>
      <c r="L170" s="5"/>
      <c r="M170" s="5"/>
    </row>
    <row r="171">
      <c r="C171" s="12"/>
      <c r="I171" s="5"/>
      <c r="J171" s="5"/>
      <c r="K171" s="5"/>
      <c r="L171" s="5"/>
      <c r="M171" s="5"/>
    </row>
    <row r="172">
      <c r="C172" s="11" t="s">
        <v>31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</row>
    <row r="173">
      <c r="C173" s="12" t="s">
        <v>127</v>
      </c>
      <c r="D173" s="9" t="s">
        <v>23</v>
      </c>
      <c r="E173" s="9"/>
      <c r="I173" s="5">
        <f>+H175</f>
        <v>59.608026</v>
      </c>
      <c r="J173" s="5">
        <f t="shared" ref="J173" si="24">+I175</f>
        <v>64.376668</v>
      </c>
      <c r="K173" s="5"/>
      <c r="L173" s="5"/>
      <c r="M173" s="5"/>
    </row>
    <row r="174">
      <c r="C174" s="12" t="s">
        <v>125</v>
      </c>
      <c r="D174" s="10" t="s">
        <v>23</v>
      </c>
      <c r="E174" s="10"/>
      <c r="I174" s="2">
        <f>+H175*$G38</f>
        <v>4.768642</v>
      </c>
      <c r="J174" s="2">
        <f t="shared" ref="J174" si="11">+I175*$G38</f>
        <v>5.150133</v>
      </c>
      <c r="K174" s="2"/>
      <c r="L174" s="2"/>
      <c r="M174" s="2"/>
    </row>
    <row r="175">
      <c r="C175" s="39" t="s">
        <v>128</v>
      </c>
      <c r="D175" s="9" t="s">
        <v>23</v>
      </c>
      <c r="E175" s="9"/>
      <c r="F175" s="31"/>
      <c r="G175" s="31"/>
      <c r="H175" s="38">
        <f>+D26</f>
        <v>59.608026</v>
      </c>
      <c r="I175" s="1">
        <f>SUM(I173:I174)</f>
        <v>64.376668</v>
      </c>
      <c r="J175" s="1">
        <f t="shared" ref="J175" si="57">SUM(J173:J174)</f>
        <v>69.526801</v>
      </c>
      <c r="K175" s="1"/>
      <c r="L175" s="1"/>
      <c r="M175" s="1"/>
    </row>
    <row r="176">
      <c r="C176" s="12" t="s">
        <v>121</v>
      </c>
      <c r="D176" s="9" t="s">
        <v>23</v>
      </c>
      <c r="E176" s="9"/>
      <c r="I176" s="5">
        <f>+H175*$F38</f>
        <v>2.384321</v>
      </c>
      <c r="J176" s="5">
        <f t="shared" ref="J176" si="10">+I175*$F38</f>
        <v>2.575067</v>
      </c>
      <c r="K176" s="5"/>
      <c r="L176" s="5"/>
      <c r="M176" s="5"/>
    </row>
    <row r="177">
      <c r="C177" s="12"/>
      <c r="I177" s="5"/>
      <c r="J177" s="5"/>
      <c r="K177" s="5"/>
      <c r="L177" s="5"/>
      <c r="M177" s="5"/>
    </row>
    <row r="178">
      <c r="C178" s="11" t="s">
        <v>129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</row>
    <row r="179">
      <c r="C179" s="12" t="s">
        <v>130</v>
      </c>
      <c r="D179" s="9" t="s">
        <v>23</v>
      </c>
      <c r="E179" s="9"/>
      <c r="I179" s="5">
        <f>+I156+I162</f>
        <v>0</v>
      </c>
      <c r="J179" s="5">
        <f t="shared" ref="J179" si="31">+J156+J162</f>
        <v>50</v>
      </c>
      <c r="K179" s="5"/>
      <c r="L179" s="5"/>
      <c r="M179" s="5"/>
    </row>
    <row r="180">
      <c r="C180" s="12" t="s">
        <v>121</v>
      </c>
      <c r="D180" s="9" t="s">
        <v>23</v>
      </c>
      <c r="E180" s="9"/>
      <c r="I180" s="5">
        <f>-I158-I164-I170-I176</f>
        <v>-11.921605</v>
      </c>
      <c r="J180" s="5">
        <f t="shared" ref="J180" si="9">-J158-J164-J170-J176</f>
        <v>-12.32247</v>
      </c>
      <c r="K180" s="5"/>
      <c r="L180" s="5"/>
      <c r="M180" s="5"/>
    </row>
    <row r="181">
      <c r="C181" s="12" t="s">
        <v>131</v>
      </c>
      <c r="D181" s="9" t="s">
        <v>23</v>
      </c>
      <c r="E181" s="9"/>
      <c r="I181" s="5">
        <f>+I180-I168-I174</f>
        <v>-19.372608</v>
      </c>
      <c r="J181" s="5">
        <f t="shared" ref="J181" si="28">+J180-J168-J174</f>
        <v>-20.235435</v>
      </c>
      <c r="K181" s="5"/>
      <c r="L181" s="5"/>
      <c r="M181" s="5"/>
    </row>
    <row r="182">
      <c r="C182" s="12" t="s">
        <v>132</v>
      </c>
      <c r="D182" s="9" t="s">
        <v>23</v>
      </c>
      <c r="E182" s="9"/>
      <c r="I182" s="5">
        <f>+H134*I146</f>
        <v>1.6</v>
      </c>
      <c r="J182" s="5">
        <f t="shared" ref="J182" si="45">+I134*J146</f>
        <v>0</v>
      </c>
      <c r="K182" s="5"/>
      <c r="L182" s="5"/>
      <c r="M182" s="5"/>
    </row>
    <row r="184">
      <c r="B184" s="19"/>
      <c r="C184" s="36"/>
      <c r="D184" s="18"/>
      <c r="E184" s="17">
        <f>$E$71</f>
        <v>Historical</v>
      </c>
      <c r="F184" s="17"/>
      <c r="G184" s="15"/>
      <c r="H184" s="15"/>
      <c r="I184" s="16">
        <f>$I$71</f>
        <v>Projected</v>
      </c>
      <c r="J184" s="35"/>
      <c r="K184" s="15"/>
      <c r="L184" s="15"/>
      <c r="M184" s="15"/>
    </row>
    <row r="185">
      <c r="B185" s="29" t="s">
        <v>133</v>
      </c>
      <c r="C185" s="28"/>
      <c r="D185" s="34">
        <f>+$D$42</f>
        <v>#VALUE!</v>
      </c>
      <c r="E185" s="13">
        <f>$E$72</f>
        <v>41639</v>
      </c>
      <c r="F185" s="13">
        <f>$F$72</f>
        <v>42004</v>
      </c>
      <c r="G185" s="13">
        <f>$G$72</f>
        <v>42369</v>
      </c>
      <c r="H185" s="14">
        <f>$H$72</f>
        <v>42735</v>
      </c>
      <c r="I185" s="33">
        <f>$I$72</f>
        <v>43100</v>
      </c>
      <c r="J185" s="13">
        <f>$J$72</f>
        <v>43465</v>
      </c>
      <c r="K185" s="13">
        <f>$K$72</f>
        <v>43830</v>
      </c>
      <c r="L185" s="13">
        <f>$L$72</f>
        <v>44196</v>
      </c>
      <c r="M185" s="13">
        <f>$M$72</f>
        <v>44561</v>
      </c>
    </row>
    <row r="186">
      <c r="H186" s="31"/>
    </row>
    <row r="187">
      <c r="C187" s="5" t="s">
        <v>134</v>
      </c>
      <c r="D187" s="9" t="s">
        <v>135</v>
      </c>
      <c r="E187" s="9"/>
      <c r="I187" s="50">
        <v>1</v>
      </c>
      <c r="J187" s="20">
        <f>I187+1</f>
        <v>2</v>
      </c>
      <c r="K187" s="20">
        <f t="shared" ref="K187" si="8">J187+1</f>
        <v>3</v>
      </c>
      <c r="L187" s="20"/>
      <c r="M187" s="20"/>
    </row>
    <row r="189">
      <c r="C189" s="1" t="s">
        <v>101</v>
      </c>
      <c r="D189" s="9" t="s">
        <v>23</v>
      </c>
      <c r="E189" s="9"/>
      <c r="I189" s="1">
        <f>+I124</f>
        <v>0</v>
      </c>
      <c r="J189" s="1">
        <f t="shared" ref="J189" si="7">+J124</f>
        <v>0</v>
      </c>
      <c r="K189" s="1"/>
      <c r="L189" s="1"/>
      <c r="M189" s="1"/>
    </row>
    <row r="190">
      <c r="C190" s="12" t="s">
        <v>136</v>
      </c>
      <c r="D190" s="10" t="s">
        <v>137</v>
      </c>
      <c r="E190" s="10"/>
      <c r="I190" s="32">
        <v>23</v>
      </c>
      <c r="J190" s="32">
        <v>23.5</v>
      </c>
      <c r="K190" s="32">
        <v>24</v>
      </c>
      <c r="L190" s="32">
        <v>24.5</v>
      </c>
      <c r="M190" s="32">
        <v>25</v>
      </c>
    </row>
    <row r="191">
      <c r="C191" s="8" t="s">
        <v>138</v>
      </c>
      <c r="D191" s="9" t="s">
        <v>23</v>
      </c>
      <c r="E191" s="9"/>
      <c r="F191" s="31"/>
      <c r="G191" s="31"/>
      <c r="H191" s="31"/>
      <c r="I191" s="8">
        <f>+I189*I190</f>
        <v>0</v>
      </c>
      <c r="J191" s="8">
        <f t="shared" ref="J191" si="54">+J189*J190</f>
        <v>0</v>
      </c>
      <c r="K191" s="8"/>
      <c r="L191" s="8"/>
      <c r="M191" s="8"/>
    </row>
    <row r="192">
      <c r="C192" s="4" t="s">
        <v>139</v>
      </c>
      <c r="D192" s="10" t="s">
        <v>23</v>
      </c>
      <c r="E192" s="10"/>
      <c r="F192" s="2"/>
      <c r="G192" s="2"/>
      <c r="H192" s="2"/>
      <c r="I192" s="2">
        <f>-I157-I163-I169-I175+I134</f>
        <v>-186.275081</v>
      </c>
      <c r="J192" s="2">
        <f t="shared" ref="J192" si="47">-J157-J163-J169-J175+J134</f>
        <v>-244.188046</v>
      </c>
      <c r="K192" s="2"/>
      <c r="L192" s="2"/>
      <c r="M192" s="2"/>
    </row>
    <row r="193">
      <c r="C193" s="1" t="s">
        <v>140</v>
      </c>
      <c r="D193" s="9" t="s">
        <v>23</v>
      </c>
      <c r="E193" s="9"/>
      <c r="I193" s="8">
        <f>+I191+I192</f>
        <v>-186.275081</v>
      </c>
      <c r="J193" s="8">
        <f t="shared" ref="J193" si="6">+J191+J192</f>
        <v>-244.188046</v>
      </c>
      <c r="K193" s="8"/>
      <c r="L193" s="8"/>
      <c r="M193" s="8"/>
    </row>
    <row r="195">
      <c r="C195" s="11" t="s">
        <v>141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</row>
    <row r="196">
      <c r="C196" s="12" t="s">
        <v>142</v>
      </c>
      <c r="D196" s="9" t="s">
        <v>137</v>
      </c>
      <c r="E196" s="9"/>
      <c r="I196" s="5">
        <f>+I193/Sponsor_Equity</f>
        <v>-0.29533</v>
      </c>
      <c r="J196" s="5">
        <f>+J193/Sponsor_Equity</f>
        <v>-0.387148</v>
      </c>
      <c r="K196" s="5">
        <f>+K193/Sponsor_Equity</f>
        <v>-0.479751</v>
      </c>
      <c r="L196" s="5">
        <f>+L193/Sponsor_Equity</f>
        <v>-0.573194</v>
      </c>
      <c r="M196" s="5">
        <f>+M193/Sponsor_Equity</f>
        <v>-0.667539</v>
      </c>
    </row>
    <row r="197">
      <c r="C197" s="12" t="s">
        <v>143</v>
      </c>
      <c r="D197" s="9" t="s">
        <v>61</v>
      </c>
      <c r="E197" s="9"/>
      <c r="I197" s="5">
        <f>(I193/Sponsor_Equity)^(1/I187)-1</f>
        <v>-1.29533</v>
      </c>
      <c r="J197" s="5">
        <f>(J193/Sponsor_Equity)^(1/J187)-1</f>
        <v>#NUM!</v>
      </c>
      <c r="K197" s="5">
        <f>(K193/Sponsor_Equity)^(1/K187)-1</f>
        <v>#NUM!</v>
      </c>
      <c r="L197" s="5">
        <f>(L193/Sponsor_Equity)^(1/L187)-1</f>
        <v>#NUM!</v>
      </c>
      <c r="M197" s="5">
        <f>(M193/Sponsor_Equity)^(1/M187)-1</f>
        <v>#NUM!</v>
      </c>
    </row>
    <row r="199">
      <c r="C199" s="11" t="s">
        <v>144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</row>
    <row r="200">
      <c r="C200" s="12" t="s">
        <v>145</v>
      </c>
      <c r="D200" s="9" t="s">
        <v>23</v>
      </c>
      <c r="I200" s="31">
        <f>IF(I193&gt;Sponsor_Equity,Mgmt_Option_Pool*Sponsor_Equity,0)</f>
        <v>0</v>
      </c>
      <c r="J200" s="31">
        <f>IF(J193&gt;Sponsor_Equity,Mgmt_Option_Pool*Sponsor_Equity,0)</f>
        <v>0</v>
      </c>
      <c r="K200" s="31">
        <f>IF(K193&gt;Sponsor_Equity,Mgmt_Option_Pool*Sponsor_Equity,0)</f>
        <v>0</v>
      </c>
      <c r="L200" s="31">
        <f>IF(L193&gt;Sponsor_Equity,Mgmt_Option_Pool*Sponsor_Equity,0)</f>
        <v>0</v>
      </c>
      <c r="M200" s="31">
        <f>IF(M193&gt;Sponsor_Equity,Mgmt_Option_Pool*Sponsor_Equity,0)</f>
        <v>0</v>
      </c>
    </row>
    <row r="201">
      <c r="C201" s="12" t="s">
        <v>146</v>
      </c>
      <c r="D201" s="9" t="s">
        <v>23</v>
      </c>
      <c r="I201" s="5">
        <f>IF(I200&gt;0,-Mgmt_Option_Pool/(1+Mgmt_Option_Pool)*(I193+I200),0)</f>
        <v>0</v>
      </c>
      <c r="J201" s="5">
        <f>IF(J200&gt;0,-Mgmt_Option_Pool/(1+Mgmt_Option_Pool)*(J193+J200),0)</f>
        <v>0</v>
      </c>
      <c r="K201" s="5">
        <f>IF(K200&gt;0,-Mgmt_Option_Pool/(1+Mgmt_Option_Pool)*(K193+K200),0)</f>
        <v>0</v>
      </c>
      <c r="L201" s="5">
        <f>IF(L200&gt;0,-Mgmt_Option_Pool/(1+Mgmt_Option_Pool)*(L193+L200),0)</f>
        <v>0</v>
      </c>
      <c r="M201" s="5">
        <f>IF(M200&gt;0,-Mgmt_Option_Pool/(1+Mgmt_Option_Pool)*(M193+M200),0)</f>
        <v>0</v>
      </c>
    </row>
    <row r="202">
      <c r="C202" s="12" t="s">
        <v>147</v>
      </c>
      <c r="D202" s="10" t="s">
        <v>23</v>
      </c>
      <c r="I202" s="5">
        <f>-MAX((I193+I200)*Mezz_Equity_Pct,0)</f>
        <v>-0</v>
      </c>
      <c r="J202" s="5">
        <f>-MAX((J193+J200)*Mezz_Equity_Pct,0)</f>
        <v>-0</v>
      </c>
      <c r="K202" s="5">
        <f>-MAX((K193+K200)*Mezz_Equity_Pct,0)</f>
        <v>-0</v>
      </c>
      <c r="L202" s="5">
        <f>-MAX((L193+L200)*Mezz_Equity_Pct,0)</f>
        <v>-0</v>
      </c>
      <c r="M202" s="5">
        <f>-MAX((M193+M200)*Mezz_Equity_Pct,0)</f>
        <v>-0</v>
      </c>
    </row>
    <row r="203">
      <c r="C203" s="8" t="s">
        <v>148</v>
      </c>
      <c r="D203" s="9" t="s">
        <v>23</v>
      </c>
      <c r="E203" s="31"/>
      <c r="F203" s="31"/>
      <c r="G203" s="31"/>
      <c r="H203" s="31"/>
      <c r="I203" s="8">
        <f>SUM(I200:I202)</f>
        <v>0</v>
      </c>
      <c r="J203" s="8">
        <f t="shared" ref="J203" si="5">SUM(J200:J202)</f>
        <v>0</v>
      </c>
      <c r="K203" s="8"/>
      <c r="L203" s="8"/>
      <c r="M203" s="8"/>
    </row>
    <row r="204">
      <c r="I204" s="5"/>
      <c r="J204" s="5"/>
      <c r="K204" s="5"/>
      <c r="L204" s="5"/>
      <c r="M204" s="5"/>
    </row>
    <row r="205">
      <c r="C205" s="1" t="s">
        <v>149</v>
      </c>
      <c r="D205" s="9" t="s">
        <v>23</v>
      </c>
      <c r="I205" s="1">
        <f>+I193+I203</f>
        <v>-186.275081</v>
      </c>
      <c r="J205" s="1">
        <f t="shared" ref="J205" si="14">+J193+J203</f>
        <v>-244.188046</v>
      </c>
      <c r="K205" s="1"/>
      <c r="L205" s="1"/>
      <c r="M205" s="1"/>
    </row>
    <row r="207">
      <c r="C207" s="11" t="s">
        <v>150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</row>
    <row r="208">
      <c r="C208" s="12" t="s">
        <v>142</v>
      </c>
      <c r="D208" s="9" t="s">
        <v>137</v>
      </c>
      <c r="E208" s="9"/>
      <c r="I208" s="5">
        <f>I205/Sponsor_Equity</f>
        <v>-0.29533</v>
      </c>
      <c r="J208" s="5">
        <f>J205/Sponsor_Equity</f>
        <v>-0.387148</v>
      </c>
      <c r="K208" s="5">
        <f>K205/Sponsor_Equity</f>
        <v>-0.479751</v>
      </c>
      <c r="L208" s="5">
        <f>L205/Sponsor_Equity</f>
        <v>-0.573194</v>
      </c>
      <c r="M208" s="5">
        <f>M205/Sponsor_Equity</f>
        <v>-0.667539</v>
      </c>
    </row>
    <row r="209">
      <c r="C209" s="12" t="s">
        <v>143</v>
      </c>
      <c r="D209" s="9" t="s">
        <v>61</v>
      </c>
      <c r="E209" s="9"/>
      <c r="I209" s="5">
        <f>(I205/Sponsor_Equity)^(1/I$187)-1</f>
        <v>-1.29533</v>
      </c>
      <c r="J209" s="5">
        <f>(J205/Sponsor_Equity)^(1/J$187)-1</f>
        <v>#NUM!</v>
      </c>
      <c r="K209" s="5">
        <f>(K205/Sponsor_Equity)^(1/K$187)-1</f>
        <v>#NUM!</v>
      </c>
      <c r="L209" s="5">
        <f>(L205/Sponsor_Equity)^(1/L$187)-1</f>
        <v>#NUM!</v>
      </c>
      <c r="M209" s="5">
        <f>(M205/Sponsor_Equity)^(1/M$187)-1</f>
        <v>#NUM!</v>
      </c>
    </row>
    <row r="211">
      <c r="B211" s="29" t="s">
        <v>151</v>
      </c>
      <c r="C211" s="28"/>
      <c r="D211" s="30"/>
      <c r="E211" s="30"/>
      <c r="F211" s="28"/>
      <c r="G211" s="28"/>
      <c r="H211" s="28"/>
      <c r="I211" s="28"/>
      <c r="J211" s="30"/>
      <c r="K211" s="28"/>
      <c r="L211" s="28"/>
      <c r="M211" s="28"/>
    </row>
    <row r="213">
      <c r="C213" s="27"/>
      <c r="D213" s="68"/>
      <c r="E213" s="52">
        <f>TEXT($M$42,"YYYY")&amp;" Exit EV / EBITDA #REF!:"</f>
        <v>44561 Exit EV / EBITDA Multiple:</v>
      </c>
      <c r="F213" s="52"/>
      <c r="G213" s="26"/>
      <c r="H213" s="26"/>
      <c r="I213" s="26"/>
      <c r="J213" s="26"/>
      <c r="K213" s="26"/>
      <c r="L213" s="26"/>
      <c r="M213" s="37"/>
    </row>
    <row r="214">
      <c r="C214" s="49"/>
      <c r="D214" s="44">
        <f>+$M$209</f>
        <v>#NUM!</v>
      </c>
      <c r="E214" s="25">
        <v>21</v>
      </c>
      <c r="F214" s="24">
        <f>+E214+1</f>
        <v>22</v>
      </c>
      <c r="G214" s="24">
        <f t="shared" ref="G214" si="60">+F214+1</f>
        <v>23</v>
      </c>
      <c r="H214" s="24"/>
      <c r="I214" s="67"/>
      <c r="J214" s="24"/>
      <c r="K214" s="24"/>
      <c r="L214" s="24"/>
      <c r="M214" s="66"/>
    </row>
    <row r="215">
      <c r="C215" s="57" t="s">
        <v>152</v>
      </c>
      <c r="D215" s="23">
        <v>0.5</v>
      </c>
      <c r="E215" s="5">
        <f>#ERROR!</f>
        <v>#VALUE!</v>
      </c>
      <c r="F215" s="5">
        <v>-1.912052</v>
      </c>
      <c r="G215" s="5">
        <v>-1.912052</v>
      </c>
      <c r="H215" s="5">
        <v>-1.912052</v>
      </c>
      <c r="I215" s="1">
        <v>-1.912052</v>
      </c>
      <c r="J215" s="5">
        <v>-1.912052</v>
      </c>
      <c r="K215" s="5">
        <v>-1.912052</v>
      </c>
      <c r="L215" s="5">
        <v>-1.912052</v>
      </c>
      <c r="M215" s="5">
        <v>-1.912052</v>
      </c>
      <c r="N215" s="20"/>
    </row>
    <row r="216">
      <c r="C216" s="21"/>
      <c r="D216" s="43">
        <f>+D215-0.05</f>
        <v>0.45</v>
      </c>
      <c r="E216" s="5">
        <v>-1.914562</v>
      </c>
      <c r="F216" s="5">
        <v>-1.914562</v>
      </c>
      <c r="G216" s="5">
        <v>-1.914562</v>
      </c>
      <c r="H216" s="5">
        <v>-1.914562</v>
      </c>
      <c r="I216" s="1">
        <v>-1.914562</v>
      </c>
      <c r="J216" s="5">
        <v>-1.914562</v>
      </c>
      <c r="K216" s="5">
        <v>-1.914562</v>
      </c>
      <c r="L216" s="5">
        <v>-1.914562</v>
      </c>
      <c r="M216" s="5">
        <v>-1.914562</v>
      </c>
      <c r="N216" s="20"/>
    </row>
    <row r="217">
      <c r="C217" s="21"/>
      <c r="D217" s="43">
        <f t="shared" ref="D217" si="25">+D216-0.05</f>
        <v>0.4</v>
      </c>
      <c r="E217" s="5">
        <v>-1.917114</v>
      </c>
      <c r="F217" s="5">
        <v>-1.917114</v>
      </c>
      <c r="G217" s="5">
        <v>-1.917114</v>
      </c>
      <c r="H217" s="5">
        <v>-1.917114</v>
      </c>
      <c r="I217" s="1">
        <v>-1.917114</v>
      </c>
      <c r="J217" s="5">
        <v>-1.917114</v>
      </c>
      <c r="K217" s="5">
        <v>-1.917114</v>
      </c>
      <c r="L217" s="5">
        <v>-1.917114</v>
      </c>
      <c r="M217" s="5">
        <v>-1.917114</v>
      </c>
      <c r="N217" s="20"/>
    </row>
    <row r="218">
      <c r="C218" s="21"/>
      <c r="D218" s="43"/>
      <c r="E218" s="5">
        <v>-1.919709</v>
      </c>
      <c r="F218" s="5">
        <v>-1.919709</v>
      </c>
      <c r="G218" s="5">
        <v>-1.919709</v>
      </c>
      <c r="H218" s="5">
        <v>-1.919709</v>
      </c>
      <c r="I218" s="1">
        <v>-1.919709</v>
      </c>
      <c r="J218" s="5">
        <v>-1.919709</v>
      </c>
      <c r="K218" s="5">
        <v>-1.919709</v>
      </c>
      <c r="L218" s="5">
        <v>-1.919709</v>
      </c>
      <c r="M218" s="5">
        <v>-1.919709</v>
      </c>
      <c r="N218" s="20"/>
    </row>
    <row r="219">
      <c r="C219" s="21"/>
      <c r="D219" s="22"/>
      <c r="E219" s="1">
        <v>-1.922349</v>
      </c>
      <c r="F219" s="1">
        <v>-1.922349</v>
      </c>
      <c r="G219" s="1">
        <v>-1.922349</v>
      </c>
      <c r="H219" s="1">
        <v>-1.922349</v>
      </c>
      <c r="I219" s="1">
        <v>-1.922349</v>
      </c>
      <c r="J219" s="1">
        <v>-1.922349</v>
      </c>
      <c r="K219" s="1">
        <v>-1.922349</v>
      </c>
      <c r="L219" s="1">
        <v>-1.922349</v>
      </c>
      <c r="M219" s="1">
        <v>-1.922349</v>
      </c>
      <c r="N219" s="40"/>
    </row>
    <row r="220">
      <c r="C220" s="21"/>
      <c r="D220" s="43"/>
      <c r="E220" s="5">
        <v>-1.925035</v>
      </c>
      <c r="F220" s="5">
        <v>-1.925035</v>
      </c>
      <c r="G220" s="5">
        <v>-1.925035</v>
      </c>
      <c r="H220" s="5">
        <v>-1.925035</v>
      </c>
      <c r="I220" s="1">
        <v>-1.925035</v>
      </c>
      <c r="J220" s="5">
        <v>-1.925035</v>
      </c>
      <c r="K220" s="5">
        <v>-1.925035</v>
      </c>
      <c r="L220" s="5">
        <v>-1.925035</v>
      </c>
      <c r="M220" s="5">
        <v>-1.925035</v>
      </c>
      <c r="N220" s="20"/>
    </row>
    <row r="221">
      <c r="C221" s="21"/>
      <c r="D221" s="43"/>
      <c r="E221" s="5">
        <v>-1.927769</v>
      </c>
      <c r="F221" s="5">
        <v>-1.927769</v>
      </c>
      <c r="G221" s="5">
        <v>-1.927769</v>
      </c>
      <c r="H221" s="5">
        <v>-1.927769</v>
      </c>
      <c r="I221" s="1">
        <v>-1.927769</v>
      </c>
      <c r="J221" s="5">
        <v>-1.927769</v>
      </c>
      <c r="K221" s="5">
        <v>-1.927769</v>
      </c>
      <c r="L221" s="5">
        <v>-1.927769</v>
      </c>
      <c r="M221" s="5">
        <v>-1.927769</v>
      </c>
      <c r="N221" s="20"/>
    </row>
    <row r="222">
      <c r="C222" s="21"/>
      <c r="D222" s="43"/>
      <c r="E222" s="5">
        <v>-1.930552</v>
      </c>
      <c r="F222" s="5">
        <v>-1.930552</v>
      </c>
      <c r="G222" s="5">
        <v>-1.930552</v>
      </c>
      <c r="H222" s="5">
        <v>-1.930552</v>
      </c>
      <c r="I222" s="1">
        <v>-1.930552</v>
      </c>
      <c r="J222" s="5">
        <v>-1.930552</v>
      </c>
      <c r="K222" s="5">
        <v>-1.930552</v>
      </c>
      <c r="L222" s="5">
        <v>-1.930552</v>
      </c>
      <c r="M222" s="5">
        <v>-1.930552</v>
      </c>
      <c r="N222" s="20"/>
    </row>
    <row r="223">
      <c r="C223" s="84"/>
      <c r="D223" s="90"/>
      <c r="E223" s="5">
        <v>-1.933386</v>
      </c>
      <c r="F223" s="5">
        <v>-1.933386</v>
      </c>
      <c r="G223" s="5">
        <v>-1.933386</v>
      </c>
      <c r="H223" s="5">
        <v>-1.933386</v>
      </c>
      <c r="I223" s="1">
        <v>-1.933386</v>
      </c>
      <c r="J223" s="5">
        <v>-1.933386</v>
      </c>
      <c r="K223" s="5">
        <v>-1.933386</v>
      </c>
      <c r="L223" s="5">
        <v>-1.933386</v>
      </c>
      <c r="M223" s="5">
        <v>-1.933386</v>
      </c>
      <c r="N223" s="20"/>
    </row>
    <row r="225">
      <c r="B225" s="19"/>
      <c r="C225" s="36"/>
      <c r="D225" s="18"/>
      <c r="E225" s="17">
        <f>$E$71</f>
        <v>Historical</v>
      </c>
      <c r="F225" s="17"/>
      <c r="G225" s="15"/>
      <c r="H225" s="15"/>
      <c r="I225" s="16">
        <f>$I$71</f>
        <v>Projected</v>
      </c>
      <c r="J225" s="35"/>
      <c r="K225" s="15"/>
      <c r="L225" s="15"/>
      <c r="M225" s="15"/>
    </row>
    <row r="226">
      <c r="B226" s="29" t="s">
        <v>153</v>
      </c>
      <c r="C226" s="28"/>
      <c r="D226" s="34">
        <f>+$D$42</f>
        <v>#VALUE!</v>
      </c>
      <c r="E226" s="13">
        <f>$E$72</f>
        <v>41639</v>
      </c>
      <c r="F226" s="13">
        <f>$F$72</f>
        <v>42004</v>
      </c>
      <c r="G226" s="13">
        <f>$G$72</f>
        <v>42369</v>
      </c>
      <c r="H226" s="14">
        <f>$H$72</f>
        <v>42735</v>
      </c>
      <c r="I226" s="33">
        <f>$I$72</f>
        <v>43100</v>
      </c>
      <c r="J226" s="13">
        <f>$J$72</f>
        <v>43465</v>
      </c>
      <c r="K226" s="13">
        <f>$K$72</f>
        <v>43830</v>
      </c>
      <c r="L226" s="13">
        <f>$L$72</f>
        <v>44196</v>
      </c>
      <c r="M226" s="13">
        <f>$M$72</f>
        <v>44561</v>
      </c>
    </row>
    <row r="228">
      <c r="C228" s="11" t="s">
        <v>154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C229" s="12" t="s">
        <v>155</v>
      </c>
      <c r="D229" s="9" t="s">
        <v>23</v>
      </c>
      <c r="E229" s="9"/>
      <c r="I229" s="5">
        <f>(I124-LTM_EBITDA)*#REF!_Multiple</f>
        <v>-737.380102</v>
      </c>
      <c r="J229" s="5">
        <f>(J124-LTM_EBITDA)*#REF!_Multiple</f>
        <v>-737.380102</v>
      </c>
      <c r="K229" s="5">
        <f>(K124-LTM_EBITDA)*#REF!_Multiple</f>
        <v>-737.380102</v>
      </c>
      <c r="L229" s="5">
        <f>(L124-LTM_EBITDA)*#REF!_Multiple</f>
        <v>-737.380102</v>
      </c>
      <c r="M229" s="5">
        <f>(M124-LTM_EBITDA)*#REF!_Multiple</f>
        <v>-737.380102</v>
      </c>
    </row>
    <row r="230">
      <c r="C230" s="12" t="s">
        <v>156</v>
      </c>
      <c r="D230" s="9" t="s">
        <v>23</v>
      </c>
      <c r="E230" s="9"/>
      <c r="I230" s="5">
        <f>(I190-#REF!_Multiple)*I124</f>
        <v>-0</v>
      </c>
      <c r="J230" s="5">
        <f>(J190-#REF!_Multiple)*J124</f>
        <v>-0</v>
      </c>
      <c r="K230" s="5">
        <f>(K190-#REF!_Multiple)*K124</f>
        <v>-0</v>
      </c>
      <c r="L230" s="5">
        <f>(L190-#REF!_Multiple)*L124</f>
        <v>-0</v>
      </c>
      <c r="M230" s="5">
        <f>(M190-#REF!_Multiple)*M124</f>
        <v>0</v>
      </c>
      <c r="N230" s="5"/>
    </row>
    <row r="231">
      <c r="C231" s="4" t="s">
        <v>157</v>
      </c>
      <c r="D231" s="10" t="s">
        <v>23</v>
      </c>
      <c r="E231" s="10"/>
      <c r="F231" s="2"/>
      <c r="G231" s="2"/>
      <c r="H231" s="2"/>
      <c r="I231" s="5">
        <f>+I232-SUM(I229:I230)</f>
        <v>-79.630514</v>
      </c>
      <c r="J231" s="5">
        <f t="shared" ref="J231" si="3">+J232-SUM(J229:J230)</f>
        <v>-137.543479</v>
      </c>
      <c r="K231" s="5"/>
      <c r="L231" s="5"/>
      <c r="M231" s="5"/>
    </row>
    <row r="232">
      <c r="C232" s="1" t="s">
        <v>158</v>
      </c>
      <c r="D232" s="9" t="s">
        <v>23</v>
      </c>
      <c r="E232" s="9"/>
      <c r="I232" s="8">
        <f>+I193-Sponsor_Equity</f>
        <v>-817.010616</v>
      </c>
      <c r="J232" s="8">
        <f>+J193-Sponsor_Equity</f>
        <v>-874.923581</v>
      </c>
      <c r="K232" s="8">
        <f>+K193-Sponsor_Equity</f>
        <v>-933.33144</v>
      </c>
      <c r="L232" s="8">
        <f>+L193-Sponsor_Equity</f>
        <v>-992.269644</v>
      </c>
      <c r="M232" s="8">
        <f>+M193-Sponsor_Equity</f>
        <v>-1051.77635</v>
      </c>
    </row>
    <row r="234">
      <c r="C234" s="11" t="s">
        <v>159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</row>
    <row r="235">
      <c r="C235" s="12">
        <f>+$C$229</f>
        <v>#VALUE!</v>
      </c>
      <c r="D235" s="6" t="s">
        <v>61</v>
      </c>
      <c r="E235" s="9"/>
      <c r="I235" s="5">
        <f>+I229/I$232</f>
        <v>0.902534</v>
      </c>
      <c r="J235" s="5">
        <f t="shared" ref="J235" si="2">+J229/J$232</f>
        <v>0.842794</v>
      </c>
      <c r="K235" s="5"/>
      <c r="L235" s="5"/>
      <c r="M235" s="5"/>
    </row>
    <row r="236">
      <c r="C236" s="12">
        <f>+$C$230</f>
        <v>#VALUE!</v>
      </c>
      <c r="D236" s="6" t="s">
        <v>61</v>
      </c>
      <c r="E236" s="9"/>
      <c r="I236" s="5">
        <f t="shared" ref="I236" si="52">+I230/I$232</f>
        <v>0</v>
      </c>
      <c r="J236" s="5"/>
      <c r="K236" s="5"/>
      <c r="L236" s="5"/>
      <c r="M236" s="5"/>
    </row>
    <row r="237">
      <c r="C237" s="4">
        <f>+$C$231</f>
        <v>#VALUE!</v>
      </c>
      <c r="D237" s="3" t="s">
        <v>61</v>
      </c>
      <c r="E237" s="10"/>
      <c r="F237" s="2"/>
      <c r="G237" s="2"/>
      <c r="H237" s="2"/>
      <c r="I237" s="2"/>
      <c r="J237" s="2"/>
      <c r="K237" s="2"/>
      <c r="L237" s="2"/>
      <c r="M237" s="2"/>
    </row>
    <row r="238">
      <c r="C238" s="1">
        <f>+$C$232</f>
        <v>#VALUE!</v>
      </c>
      <c r="D238" s="6" t="s">
        <v>61</v>
      </c>
      <c r="E238" s="9"/>
      <c r="I238" s="1">
        <f>SUM(I235:I237)</f>
        <v>1</v>
      </c>
      <c r="J238" s="1">
        <f t="shared" ref="J238" si="36">SUM(J235:J237)</f>
        <v>1</v>
      </c>
      <c r="K238" s="1"/>
      <c r="L238" s="1"/>
      <c r="M238" s="1"/>
    </row>
    <row r="240">
      <c r="C240" s="11" t="s">
        <v>160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</row>
    <row r="241">
      <c r="C241" s="12" t="s">
        <v>161</v>
      </c>
      <c r="D241" s="9" t="s">
        <v>23</v>
      </c>
      <c r="E241" s="9"/>
      <c r="I241" s="5">
        <f>(I50-$H50)*$H53/Units</f>
        <v>-150.222529</v>
      </c>
      <c r="J241" s="5">
        <f>(J50-$H50)*$H53/Units</f>
        <v>-150.222529</v>
      </c>
      <c r="K241" s="5">
        <f>(K50-$H50)*$H53/Units</f>
        <v>-150.222529</v>
      </c>
      <c r="L241" s="5">
        <f>(L50-$H50)*$H53/Units</f>
        <v>-150.222529</v>
      </c>
      <c r="M241" s="5">
        <f>(M50-$H50)*$H53/Units</f>
        <v>-150.222529</v>
      </c>
    </row>
    <row r="242">
      <c r="C242" s="4" t="s">
        <v>162</v>
      </c>
      <c r="D242" s="10" t="s">
        <v>23</v>
      </c>
      <c r="E242" s="10"/>
      <c r="F242" s="2"/>
      <c r="G242" s="2"/>
      <c r="H242" s="2"/>
      <c r="I242" s="5">
        <f>(I53-$H53)*I50/Units</f>
        <v>-0</v>
      </c>
      <c r="J242" s="5">
        <f>(J53-$H53)*J50/Units</f>
        <v>-0</v>
      </c>
      <c r="K242" s="5">
        <f>(K53-$H53)*K50/Units</f>
        <v>-0</v>
      </c>
      <c r="L242" s="5">
        <f>(L53-$H53)*L50/Units</f>
        <v>-0</v>
      </c>
      <c r="M242" s="5">
        <f>(M53-$H53)*M50/Units</f>
        <v>-0</v>
      </c>
    </row>
    <row r="243">
      <c r="C243" s="1" t="s">
        <v>75</v>
      </c>
      <c r="D243" s="9" t="s">
        <v>23</v>
      </c>
      <c r="E243" s="9"/>
      <c r="I243" s="8">
        <f>SUM(I241:I242)</f>
        <v>-150.222529</v>
      </c>
      <c r="J243" s="8">
        <f t="shared" ref="J243" si="0">SUM(J241:J242)</f>
        <v>-150.222529</v>
      </c>
      <c r="K243" s="8"/>
      <c r="L243" s="8"/>
      <c r="M243" s="8"/>
    </row>
    <row r="244">
      <c r="I244" s="5"/>
      <c r="J244" s="5"/>
      <c r="K244" s="5"/>
      <c r="L244" s="5"/>
      <c r="M244" s="5"/>
      <c r="N244" s="5"/>
    </row>
    <row r="245">
      <c r="C245" s="11" t="s">
        <v>163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</row>
    <row r="246">
      <c r="C246" s="12">
        <f>+$C$241</f>
        <v>#VALUE!</v>
      </c>
      <c r="D246" s="6" t="s">
        <v>61</v>
      </c>
      <c r="E246" s="9"/>
      <c r="I246" s="5">
        <f>+I241/I$243</f>
        <v>1</v>
      </c>
      <c r="J246" s="5">
        <f t="shared" ref="J246" si="32">+J241/J$243</f>
        <v>1</v>
      </c>
      <c r="K246" s="5"/>
      <c r="L246" s="5"/>
      <c r="M246" s="5"/>
    </row>
    <row r="247">
      <c r="C247" s="4">
        <f>+$C$242</f>
        <v>#VALUE!</v>
      </c>
      <c r="D247" s="3" t="s">
        <v>61</v>
      </c>
      <c r="E247" s="10"/>
      <c r="F247" s="2"/>
      <c r="G247" s="2"/>
      <c r="H247" s="2"/>
      <c r="I247" s="2">
        <f t="shared" ref="I247" si="1">+I242/I$243</f>
        <v>0</v>
      </c>
      <c r="J247" s="2"/>
      <c r="K247" s="2"/>
      <c r="L247" s="2"/>
      <c r="M247" s="2"/>
    </row>
    <row r="248">
      <c r="C248" s="1">
        <f>+$C$243</f>
        <v>#VALUE!</v>
      </c>
      <c r="D248" s="6" t="s">
        <v>61</v>
      </c>
      <c r="E248" s="9"/>
      <c r="I248" s="1">
        <f>SUM(I246:I247)</f>
        <v>1</v>
      </c>
      <c r="J248" s="1">
        <f t="shared" ref="J248" si="4">SUM(J246:J247)</f>
        <v>1</v>
      </c>
      <c r="K248" s="1"/>
      <c r="L248" s="1"/>
      <c r="M248" s="1"/>
    </row>
  </sheetData>
  <mergeCells count="1">
    <mergeCell ref="C215:C223"/>
  </mergeCells>
</worksheet>
</file>