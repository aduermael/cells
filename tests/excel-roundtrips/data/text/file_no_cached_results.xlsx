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110"/>
  <x: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text/"/>
    </mc:Choice>
  </mc:AlternateContent>
  <xr:revisionPtr revIDLastSave="0" documentId="13_ncr:1_{F79B6A69-2A52-2E4A-8886-25067EFFA474}" xr6:coauthVersionLast="47" xr6:coauthVersionMax="47" xr10:uidLastSave="{00000000-0000-0000-0000-000000000000}"/>
  <x:bookViews>
    <x:workbookView xWindow="720" yWindow="660" windowWidth="27900" windowHeight="15100" xr2:uid="{330BF130-502A-564A-8CF7-869F08690EB6}"/>
  </x:bookViews>
  <x:sheets>
    <x:sheet name="Text Functions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D18" i="1" l="1"/>
  <c r="C181" i="1"/>
  <c r="F181" i="1"/>
  <c r="C182" i="1"/>
  <c r="F182" i="1"/>
  <c r="C183" i="1"/>
  <c r="F183" i="1"/>
  <c r="C184" i="1"/>
  <c r="F184" i="1"/>
  <c r="C185" i="1"/>
  <c r="F185" i="1"/>
  <c r="C186" i="1"/>
  <c r="F186" i="1"/>
  <c r="C187" i="1"/>
  <c r="F187" i="1"/>
  <c r="C188" i="1"/>
  <c r="F188" i="1"/>
  <c r="C189" i="1"/>
  <c r="F189" i="1"/>
  <c r="C190" i="1"/>
  <c r="F190" i="1"/>
  <c r="D171" i="1"/>
  <c r="E171" i="1"/>
  <c r="F171" i="1"/>
  <c r="G171" i="1"/>
  <c r="H171" i="1"/>
  <c r="I171" i="1"/>
  <c r="D172" i="1"/>
  <c r="E172" i="1"/>
  <c r="F172" i="1"/>
  <c r="G172" i="1"/>
  <c r="H172" i="1"/>
  <c r="I172" i="1"/>
  <c r="D173" i="1"/>
  <c r="E173" i="1"/>
  <c r="F173" i="1"/>
  <c r="G173" i="1"/>
  <c r="H173" i="1"/>
  <c r="I173" i="1"/>
  <c r="D174" i="1"/>
  <c r="E174" i="1"/>
  <c r="F174" i="1"/>
  <c r="G174" i="1"/>
  <c r="H174" i="1"/>
  <c r="I174" i="1"/>
  <c r="D175" i="1"/>
  <c r="E175" i="1"/>
  <c r="F175" i="1"/>
  <c r="G175" i="1"/>
  <c r="H175" i="1"/>
  <c r="I175" i="1"/>
  <c r="D176" i="1"/>
  <c r="E176" i="1"/>
  <c r="F176" i="1"/>
  <c r="G176" i="1"/>
  <c r="H176" i="1"/>
  <c r="I176" i="1"/>
  <c r="C160" i="1"/>
  <c r="D160" i="1"/>
  <c r="E160" i="1"/>
  <c r="F160" i="1"/>
  <c r="G160" i="1"/>
  <c r="C161" i="1"/>
  <c r="D161" i="1"/>
  <c r="E161" i="1"/>
  <c r="F161" i="1"/>
  <c r="G161" i="1"/>
  <c r="C162" i="1"/>
  <c r="D162" i="1"/>
  <c r="E162" i="1"/>
  <c r="F162" i="1"/>
  <c r="G162" i="1"/>
  <c r="C163" i="1"/>
  <c r="D163" i="1"/>
  <c r="E163" i="1"/>
  <c r="F163" i="1"/>
  <c r="G163" i="1"/>
  <c r="C164" i="1"/>
  <c r="D164" i="1"/>
  <c r="E164" i="1"/>
  <c r="F164" i="1"/>
  <c r="G164" i="1"/>
  <c r="C165" i="1"/>
  <c r="D165" i="1"/>
  <c r="E165" i="1"/>
  <c r="F165" i="1"/>
  <c r="G165" i="1"/>
  <c r="C148" i="1"/>
  <c r="C149" i="1"/>
  <c r="C150" i="1"/>
  <c r="C151" i="1"/>
  <c r="C152" i="1"/>
  <c r="C153" i="1"/>
  <c r="C154" i="1"/>
  <c r="C155" i="1"/>
  <c r="C139" i="1"/>
  <c r="D139" i="1"/>
  <c r="E139" i="1"/>
  <c r="F139" i="1"/>
  <c r="G139" i="1"/>
  <c r="H139" i="1"/>
  <c r="I139" i="1"/>
  <c r="C140" i="1"/>
  <c r="D140" i="1"/>
  <c r="E140" i="1"/>
  <c r="F140" i="1"/>
  <c r="G140" i="1"/>
  <c r="H140" i="1"/>
  <c r="I140" i="1"/>
  <c r="C141" i="1"/>
  <c r="D141" i="1"/>
  <c r="E141" i="1"/>
  <c r="F141" i="1"/>
  <c r="G141" i="1"/>
  <c r="H141" i="1"/>
  <c r="I141" i="1"/>
  <c r="C142" i="1"/>
  <c r="D142" i="1"/>
  <c r="E142" i="1"/>
  <c r="F142" i="1"/>
  <c r="G142" i="1"/>
  <c r="H142" i="1"/>
  <c r="I142" i="1"/>
  <c r="C143" i="1"/>
  <c r="D143" i="1"/>
  <c r="E143" i="1"/>
  <c r="F143" i="1"/>
  <c r="G143" i="1"/>
  <c r="H143" i="1"/>
  <c r="I143" i="1"/>
  <c r="C144" i="1"/>
  <c r="D144" i="1"/>
  <c r="E144" i="1"/>
  <c r="F144" i="1"/>
  <c r="G144" i="1"/>
  <c r="H144" i="1"/>
  <c r="I144" i="1"/>
  <c r="C129" i="1"/>
  <c r="D129" i="1"/>
  <c r="E129" i="1"/>
  <c r="F129" i="1"/>
  <c r="G129" i="1"/>
  <c r="C130" i="1"/>
  <c r="D130" i="1"/>
  <c r="E130" i="1"/>
  <c r="F130" i="1"/>
  <c r="G130" i="1"/>
  <c r="C131" i="1"/>
  <c r="D131" i="1"/>
  <c r="E131" i="1"/>
  <c r="F131" i="1"/>
  <c r="G131" i="1"/>
  <c r="C132" i="1"/>
  <c r="D132" i="1"/>
  <c r="E132" i="1"/>
  <c r="F132" i="1"/>
  <c r="G132" i="1"/>
  <c r="C133" i="1"/>
  <c r="D133" i="1"/>
  <c r="E133" i="1"/>
  <c r="F133" i="1"/>
  <c r="G133" i="1"/>
  <c r="C134" i="1"/>
  <c r="D134" i="1"/>
  <c r="E134" i="1"/>
  <c r="F134" i="1"/>
  <c r="G134" i="1"/>
  <c r="D135" i="1"/>
  <c r="E135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E124" i="1"/>
  <c r="F124" i="1"/>
  <c r="C107" i="1"/>
  <c r="D107" i="1"/>
  <c r="E107" i="1"/>
  <c r="F107" i="1"/>
  <c r="G107" i="1"/>
  <c r="H107" i="1"/>
  <c r="I107" i="1"/>
  <c r="C108" i="1"/>
  <c r="D108" i="1"/>
  <c r="E108" i="1"/>
  <c r="F108" i="1"/>
  <c r="G108" i="1"/>
  <c r="H108" i="1"/>
  <c r="I108" i="1"/>
  <c r="C109" i="1"/>
  <c r="D109" i="1"/>
  <c r="E109" i="1"/>
  <c r="F109" i="1"/>
  <c r="G109" i="1"/>
  <c r="H109" i="1"/>
  <c r="I109" i="1"/>
  <c r="C110" i="1"/>
  <c r="D110" i="1"/>
  <c r="E110" i="1"/>
  <c r="F110" i="1"/>
  <c r="G110" i="1"/>
  <c r="H110" i="1"/>
  <c r="I110" i="1"/>
  <c r="C111" i="1"/>
  <c r="D111" i="1"/>
  <c r="E111" i="1"/>
  <c r="F111" i="1"/>
  <c r="G111" i="1"/>
  <c r="H111" i="1"/>
  <c r="I111" i="1"/>
  <c r="C112" i="1"/>
  <c r="D112" i="1"/>
  <c r="E112" i="1"/>
  <c r="F112" i="1"/>
  <c r="G112" i="1"/>
  <c r="H112" i="1"/>
  <c r="I112" i="1"/>
  <c r="C96" i="1"/>
  <c r="D96" i="1"/>
  <c r="E96" i="1"/>
  <c r="F96" i="1"/>
  <c r="G96" i="1"/>
  <c r="H96" i="1"/>
  <c r="I96" i="1"/>
  <c r="C97" i="1"/>
  <c r="D97" i="1"/>
  <c r="E97" i="1"/>
  <c r="F97" i="1"/>
  <c r="G97" i="1"/>
  <c r="H97" i="1"/>
  <c r="I97" i="1"/>
  <c r="C98" i="1"/>
  <c r="D98" i="1"/>
  <c r="E98" i="1"/>
  <c r="F98" i="1"/>
  <c r="G98" i="1"/>
  <c r="H98" i="1"/>
  <c r="I98" i="1"/>
  <c r="C99" i="1"/>
  <c r="D99" i="1"/>
  <c r="E99" i="1"/>
  <c r="F99" i="1"/>
  <c r="G99" i="1"/>
  <c r="H99" i="1"/>
  <c r="I99" i="1"/>
  <c r="C100" i="1"/>
  <c r="D100" i="1"/>
  <c r="E100" i="1"/>
  <c r="F100" i="1"/>
  <c r="G100" i="1"/>
  <c r="H100" i="1"/>
  <c r="I100" i="1"/>
  <c r="C101" i="1"/>
  <c r="D101" i="1"/>
  <c r="E101" i="1"/>
  <c r="F101" i="1"/>
  <c r="G101" i="1"/>
  <c r="H101" i="1"/>
  <c r="I101" i="1"/>
  <c r="C102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73" i="1"/>
  <c r="D73" i="1"/>
  <c r="E73" i="1"/>
  <c r="F73" i="1"/>
  <c r="G73" i="1"/>
  <c r="H73" i="1"/>
  <c r="I73" i="1"/>
  <c r="C74" i="1"/>
  <c r="D74" i="1"/>
  <c r="E74" i="1"/>
  <c r="F74" i="1"/>
  <c r="G74" i="1"/>
  <c r="H74" i="1"/>
  <c r="I74" i="1"/>
  <c r="C75" i="1"/>
  <c r="D75" i="1"/>
  <c r="E75" i="1"/>
  <c r="F75" i="1"/>
  <c r="G75" i="1"/>
  <c r="H75" i="1"/>
  <c r="I75" i="1"/>
  <c r="C76" i="1"/>
  <c r="D76" i="1"/>
  <c r="E76" i="1"/>
  <c r="F76" i="1"/>
  <c r="G76" i="1"/>
  <c r="H76" i="1"/>
  <c r="I76" i="1"/>
  <c r="C77" i="1"/>
  <c r="D77" i="1"/>
  <c r="E77" i="1"/>
  <c r="F77" i="1"/>
  <c r="G77" i="1"/>
  <c r="H77" i="1"/>
  <c r="I77" i="1"/>
  <c r="C78" i="1"/>
  <c r="D78" i="1"/>
  <c r="E78" i="1"/>
  <c r="F78" i="1"/>
  <c r="G78" i="1"/>
  <c r="H78" i="1"/>
  <c r="I78" i="1"/>
  <c r="F79" i="1"/>
  <c r="G79" i="1"/>
  <c r="H79" i="1"/>
  <c r="I79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D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D42" i="1"/>
  <c r="E42" i="1"/>
  <c r="F42" i="1"/>
  <c r="G42" i="1"/>
  <c r="H42" i="1"/>
  <c r="I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D45" i="1"/>
  <c r="E45" i="1"/>
  <c r="F45" i="1"/>
  <c r="G45" i="1"/>
  <c r="H45" i="1"/>
  <c r="I45" i="1"/>
  <c r="D46" i="1"/>
  <c r="G46" i="1"/>
  <c r="H46" i="1"/>
  <c r="I46" i="1"/>
  <c r="J46" i="1"/>
  <c r="D29" i="1"/>
  <c r="E29" i="1"/>
  <c r="F29" i="1"/>
  <c r="G29" i="1"/>
  <c r="H29" i="1"/>
  <c r="I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D32" i="1"/>
  <c r="E32" i="1"/>
  <c r="F32" i="1"/>
  <c r="G32" i="1"/>
  <c r="H32" i="1"/>
  <c r="I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D35" i="1"/>
  <c r="E35" i="1"/>
  <c r="F35" i="1"/>
  <c r="H17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H24" i="1"/>
  <c r="I24" i="1"/>
  <c r="C12" i="1"/>
  <c r="J171" i="1" s="1"/>
  <c r="C5" i="1"/>
  <c r="F170" i="1" s="1"/>
  <c r="C35" i="1" l="1"/>
  <c r="G72" i="1"/>
  <c r="C18" i="1"/>
  <c r="G35" i="1"/>
  <c r="C34" i="1"/>
  <c r="C31" i="1"/>
  <c r="C28" i="1"/>
  <c r="C44" i="1"/>
  <c r="C41" i="1"/>
  <c r="G39" i="1"/>
  <c r="D68" i="1"/>
  <c r="C61" i="1"/>
  <c r="E91" i="1"/>
  <c r="F102" i="1"/>
  <c r="G95" i="1"/>
  <c r="C106" i="1"/>
  <c r="C117" i="1"/>
  <c r="G128" i="1"/>
  <c r="I177" i="1"/>
  <c r="E170" i="1"/>
  <c r="C24" i="1"/>
  <c r="C21" i="1"/>
  <c r="J17" i="1"/>
  <c r="F39" i="1"/>
  <c r="D91" i="1"/>
  <c r="E102" i="1"/>
  <c r="F95" i="1"/>
  <c r="H124" i="1"/>
  <c r="G135" i="1"/>
  <c r="F128" i="1"/>
  <c r="H177" i="1"/>
  <c r="D170" i="1"/>
  <c r="I17" i="1"/>
  <c r="E39" i="1"/>
  <c r="I72" i="1"/>
  <c r="C91" i="1"/>
  <c r="D102" i="1"/>
  <c r="E95" i="1"/>
  <c r="G124" i="1"/>
  <c r="F135" i="1"/>
  <c r="E128" i="1"/>
  <c r="G177" i="1"/>
  <c r="C176" i="1"/>
  <c r="C173" i="1"/>
  <c r="C170" i="1"/>
  <c r="H72" i="1"/>
  <c r="H84" i="1"/>
  <c r="D95" i="1"/>
  <c r="D128" i="1"/>
  <c r="F177" i="1"/>
  <c r="J175" i="1"/>
  <c r="J172" i="1"/>
  <c r="E177" i="1"/>
  <c r="G84" i="1"/>
  <c r="C95" i="1"/>
  <c r="C19" i="1"/>
  <c r="F17" i="1"/>
  <c r="J31" i="1"/>
  <c r="J28" i="1"/>
  <c r="F46" i="1"/>
  <c r="J44" i="1"/>
  <c r="J41" i="1"/>
  <c r="G57" i="1"/>
  <c r="F50" i="1"/>
  <c r="E79" i="1"/>
  <c r="F72" i="1"/>
  <c r="F84" i="1"/>
  <c r="I113" i="1"/>
  <c r="D124" i="1"/>
  <c r="C135" i="1"/>
  <c r="D177" i="1"/>
  <c r="C22" i="1"/>
  <c r="J34" i="1"/>
  <c r="J24" i="1"/>
  <c r="J21" i="1"/>
  <c r="J18" i="1"/>
  <c r="E17" i="1"/>
  <c r="I28" i="1"/>
  <c r="E46" i="1"/>
  <c r="F57" i="1"/>
  <c r="E50" i="1"/>
  <c r="D79" i="1"/>
  <c r="E72" i="1"/>
  <c r="E84" i="1"/>
  <c r="H113" i="1"/>
  <c r="I106" i="1"/>
  <c r="C124" i="1"/>
  <c r="G159" i="1"/>
  <c r="C177" i="1"/>
  <c r="C174" i="1"/>
  <c r="C171" i="1"/>
  <c r="C39" i="1"/>
  <c r="C128" i="1"/>
  <c r="D17" i="1"/>
  <c r="H28" i="1"/>
  <c r="E57" i="1"/>
  <c r="D50" i="1"/>
  <c r="C79" i="1"/>
  <c r="D72" i="1"/>
  <c r="D84" i="1"/>
  <c r="G113" i="1"/>
  <c r="H106" i="1"/>
  <c r="H117" i="1"/>
  <c r="G166" i="1"/>
  <c r="F159" i="1"/>
  <c r="J176" i="1"/>
  <c r="J173" i="1"/>
  <c r="J170" i="1"/>
  <c r="G17" i="1"/>
  <c r="C32" i="1"/>
  <c r="C42" i="1"/>
  <c r="C33" i="1"/>
  <c r="G28" i="1"/>
  <c r="C46" i="1"/>
  <c r="C40" i="1"/>
  <c r="D57" i="1"/>
  <c r="C50" i="1"/>
  <c r="G61" i="1"/>
  <c r="C72" i="1"/>
  <c r="C84" i="1"/>
  <c r="F113" i="1"/>
  <c r="G106" i="1"/>
  <c r="G117" i="1"/>
  <c r="F166" i="1"/>
  <c r="E159" i="1"/>
  <c r="I170" i="1"/>
  <c r="C29" i="1"/>
  <c r="C30" i="1"/>
  <c r="C43" i="1"/>
  <c r="G24" i="1"/>
  <c r="C23" i="1"/>
  <c r="C20" i="1"/>
  <c r="J35" i="1"/>
  <c r="J32" i="1"/>
  <c r="J29" i="1"/>
  <c r="F28" i="1"/>
  <c r="J45" i="1"/>
  <c r="J42" i="1"/>
  <c r="J39" i="1"/>
  <c r="C57" i="1"/>
  <c r="G68" i="1"/>
  <c r="F61" i="1"/>
  <c r="H91" i="1"/>
  <c r="I102" i="1"/>
  <c r="E113" i="1"/>
  <c r="F106" i="1"/>
  <c r="F117" i="1"/>
  <c r="E166" i="1"/>
  <c r="D159" i="1"/>
  <c r="H170" i="1"/>
  <c r="C45" i="1"/>
  <c r="G50" i="1"/>
  <c r="J19" i="1"/>
  <c r="I35" i="1"/>
  <c r="E28" i="1"/>
  <c r="I39" i="1"/>
  <c r="F68" i="1"/>
  <c r="E61" i="1"/>
  <c r="G91" i="1"/>
  <c r="H102" i="1"/>
  <c r="I95" i="1"/>
  <c r="D113" i="1"/>
  <c r="E106" i="1"/>
  <c r="E117" i="1"/>
  <c r="D166" i="1"/>
  <c r="C159" i="1"/>
  <c r="C175" i="1"/>
  <c r="C172" i="1"/>
  <c r="G170" i="1"/>
  <c r="C17" i="1"/>
  <c r="H35" i="1"/>
  <c r="D28" i="1"/>
  <c r="H39" i="1"/>
  <c r="E68" i="1"/>
  <c r="D61" i="1"/>
  <c r="F91" i="1"/>
  <c r="G102" i="1"/>
  <c r="H95" i="1"/>
  <c r="C113" i="1"/>
  <c r="D106" i="1"/>
  <c r="D117" i="1"/>
  <c r="C166" i="1"/>
  <c r="J177" i="1"/>
  <c r="J174" i="1"/>
</calcChain>
</file>

<file path=xl/sharedStrings.xml><?xml version="1.0" encoding="utf-8"?>
<sst xmlns="http://schemas.openxmlformats.org/spreadsheetml/2006/main" count="227" uniqueCount="88">
  <si>
    <t>Test Input Values</t>
  </si>
  <si>
    <t>A \ B</t>
  </si>
  <si>
    <t>Input</t>
  </si>
  <si>
    <t>TEXT FORMULA TEST SUITE</t>
  </si>
  <si>
    <t>Empty</t>
  </si>
  <si>
    <t>Hello</t>
  </si>
  <si>
    <t>hello world</t>
  </si>
  <si>
    <t xml:space="preserve">  Hello World  </t>
  </si>
  <si>
    <t>Hello123</t>
  </si>
  <si>
    <t>A&amp;B@C</t>
  </si>
  <si>
    <t>Line
Break</t>
  </si>
  <si>
    <t>CONCATENATE(A, B)</t>
  </si>
  <si>
    <t>Line\nBreak</t>
  </si>
  <si>
    <t>CONCAT(A, B)</t>
  </si>
  <si>
    <t>TEXTJOIN(", ", TRUE, A, B)</t>
  </si>
  <si>
    <t>LEFT(Text, Num_chars)</t>
  </si>
  <si>
    <t>Input \ Num_chars</t>
  </si>
  <si>
    <t>RIGHT(Text, Num_chars)</t>
  </si>
  <si>
    <t>MID(Text, Start, Num_chars)</t>
  </si>
  <si>
    <t>Input \ (Start,Len)</t>
  </si>
  <si>
    <t>(1,1)</t>
  </si>
  <si>
    <t>(1,3)</t>
  </si>
  <si>
    <t>(1,5)</t>
  </si>
  <si>
    <t>(3,2)</t>
  </si>
  <si>
    <t>(5,3)</t>
  </si>
  <si>
    <t>(7,5)</t>
  </si>
  <si>
    <t>UNARY TEXT FUNCTIONS</t>
  </si>
  <si>
    <t>LEN</t>
  </si>
  <si>
    <t>TRIM</t>
  </si>
  <si>
    <t>CLEAN</t>
  </si>
  <si>
    <t>UPPER</t>
  </si>
  <si>
    <t>LOWER</t>
  </si>
  <si>
    <t>PROPER</t>
  </si>
  <si>
    <t>FIND(Find_text, Within_text)</t>
  </si>
  <si>
    <t>Within \ Find</t>
  </si>
  <si>
    <t>"e"</t>
  </si>
  <si>
    <t>"lo"</t>
  </si>
  <si>
    <t>"Hello"</t>
  </si>
  <si>
    <t>"123"</t>
  </si>
  <si>
    <t>" "</t>
  </si>
  <si>
    <t>"@"</t>
  </si>
  <si>
    <t>"o w"</t>
  </si>
  <si>
    <t>SEARCH(Find_text, Within_text)</t>
  </si>
  <si>
    <t>SUBSTITUTE(Text, Old, New, [Instance])</t>
  </si>
  <si>
    <t>Input \ Substitution</t>
  </si>
  <si>
    <t>o→0</t>
  </si>
  <si>
    <t>l→L</t>
  </si>
  <si>
    <t>sp→-</t>
  </si>
  <si>
    <t>Hello→Hi</t>
  </si>
  <si>
    <t>l→L(1st)</t>
  </si>
  <si>
    <t>1→ONE</t>
  </si>
  <si>
    <t>REPLACE(Text, Start, Num_chars, New_text)</t>
  </si>
  <si>
    <t>Input \ Replace</t>
  </si>
  <si>
    <t>(1,1,"X")</t>
  </si>
  <si>
    <t>(1,3,"***")</t>
  </si>
  <si>
    <t>(3,2,"--")</t>
  </si>
  <si>
    <t>(1,0,"PREFIX")</t>
  </si>
  <si>
    <t>(5,100,"...")</t>
  </si>
  <si>
    <t>TEXT(Value, Format_text)</t>
  </si>
  <si>
    <t>Value \ Format</t>
  </si>
  <si>
    <t>#,##0</t>
  </si>
  <si>
    <t>#,##0.00</t>
  </si>
  <si>
    <t>$#,##0</t>
  </si>
  <si>
    <t>mm/dd/yyyy</t>
  </si>
  <si>
    <t>dddd</t>
  </si>
  <si>
    <t>VALUE(Text)</t>
  </si>
  <si>
    <t>VALUE(Input)</t>
  </si>
  <si>
    <t>"42.5"</t>
  </si>
  <si>
    <t>"-100"</t>
  </si>
  <si>
    <t>"$1,000"</t>
  </si>
  <si>
    <t>"1.23E+10"</t>
  </si>
  <si>
    <t>"50%"</t>
  </si>
  <si>
    <t>""</t>
  </si>
  <si>
    <t>REPT(Text, Times)</t>
  </si>
  <si>
    <t>Input \ Times</t>
  </si>
  <si>
    <t>EXACT(A, B)</t>
  </si>
  <si>
    <t>CHAR(Number) &amp; CODE(Text)</t>
  </si>
  <si>
    <t>Number</t>
  </si>
  <si>
    <t>CHAR(Num)</t>
  </si>
  <si>
    <t>Text</t>
  </si>
  <si>
    <t>CODE(Text)</t>
  </si>
  <si>
    <t>A</t>
  </si>
  <si>
    <t>Z</t>
  </si>
  <si>
    <t>a</t>
  </si>
  <si>
    <t>z</t>
  </si>
  <si>
    <t>!</t>
  </si>
  <si>
    <t>@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</si>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</sst>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0" fontId="2" fillId="2" borderId="0" xfId="0" applyFont="1" applyFill="1" applyAlignment="1">
      <alignment wrapText="1"/>
    </xf>
    <xf numFmtId="0" fontId="4" fillId="0" borderId="0" xfId="0" applyFont="1"/>
    <xf numFmtId="49" fontId="2" fillId="2" borderId="0" xfId="0" applyNumberFormat="1" applyFont="1" applyFill="1"/>
    <xf numFmtId="49" fontId="4" fillId="0" borderId="0" xfId="0" applyNumberFormat="1" applyFont="1"/>
    <xf numFmtId="0" fontId="6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49" fontId="0" fillId="0" borderId="0" xfId="0" applyNumberFormat="1"/>
    <xf numFmtId="3" fontId="6" fillId="3" borderId="0" xfId="0" applyNumberFormat="1" applyFont="1" applyFill="1" applyAlignment="1">
      <alignment horizontal="center"/>
    </xf>
    <xf numFmtId="9" fontId="6" fillId="3" borderId="0" xfId="0" applyNumberFormat="1" applyFont="1" applyFill="1" applyAlignment="1">
      <alignment horizontal="center"/>
    </xf>
    <xf numFmtId="11" fontId="6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88373F-4598-1346-8C27-8DA2D5BDB07A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059F98-D522-B74B-BA80-08925E4CCC64}" mc:Ignorable="x14ac xr xr2 xr3">
  <x:dimension ref="B2:L190"/>
  <x:sheetViews>
    <x:sheetView tabSelected="1" topLeftCell="A127" workbookViewId="0">
      <x:selection activeCell="D10" sqref="D10"/>
    </x:sheetView>
  </x:sheetViews>
  <x:sheetFormatPr baseColWidth="10" defaultRowHeight="16" x14ac:dyDescent="0.2"/>
  <x:cols>
    <x:col min="2" max="2" width="38.1640625" bestFit="1" customWidth="1"/>
    <x:col min="3" max="3" width="20" customWidth="1"/>
    <x:col min="4" max="4" width="21.1640625" customWidth="1"/>
    <x:col min="5" max="5" width="23.33203125" customWidth="1"/>
    <x:col min="6" max="6" width="24.5" customWidth="1"/>
    <x:col min="7" max="7" width="22" customWidth="1"/>
    <x:col min="8" max="8" width="21.33203125" customWidth="1"/>
    <x:col min="9" max="9" width="22.33203125" customWidth="1"/>
    <x:col min="10" max="10" width="21.1640625" customWidth="1"/>
  </x:cols>
  <x:sheetData>
    <x:row r="2" spans="2:12" ht="19" x14ac:dyDescent="0.25">
      <x:c r="B2" s="1" t="s">
        <x:v>3</x:v>
      </x:c>
      <x:c r="L2" s="15"/>
    </x:row>
    <x:row r="3" spans="2:12" x14ac:dyDescent="0.2"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spans="2:12" x14ac:dyDescent="0.2">
      <x:c r="B4" s="4" t="s">
        <x:v>0</x:v>
      </x:c>
    </x:row>
    <x:row r="5" spans="2:12" x14ac:dyDescent="0.2">
      <x:c r="B5" s="3" t="s">
        <x:v>4</x:v>
      </x:c>
      <x:c r="C5" s="7">
        <x:f>""</x:f>
      </x:c>
    </x:row>
    <x:row r="6" spans="2:12" x14ac:dyDescent="0.2">
      <x:c r="B6" s="3" t="s">
        <x:v>5</x:v>
      </x:c>
      <x:c r="C6" s="7" t="s">
        <x:v>5</x:v>
      </x:c>
    </x:row>
    <x:row r="7" spans="2:12" x14ac:dyDescent="0.2">
      <x:c r="B7" s="3" t="s">
        <x:v>6</x:v>
      </x:c>
      <x:c r="C7" s="7" t="s">
        <x:v>6</x:v>
      </x:c>
    </x:row>
    <x:row r="8" spans="2:12" x14ac:dyDescent="0.2">
      <x:c r="B8" s="3" t="s">
        <x:v>7</x:v>
      </x:c>
      <x:c r="C8" s="7" t="s">
        <x:v>7</x:v>
      </x:c>
    </x:row>
    <x:row r="9" spans="2:12" x14ac:dyDescent="0.2">
      <x:c r="B9" s="8">
        <x:v>123</x:v>
      </x:c>
      <x:c r="C9" s="9">
        <x:v>123</x:v>
      </x:c>
    </x:row>
    <x:row r="10" spans="2:12" x14ac:dyDescent="0.2">
      <x:c r="B10" s="3" t="s">
        <x:v>8</x:v>
      </x:c>
      <x:c r="C10" s="7" t="s">
        <x:v>8</x:v>
      </x:c>
    </x:row>
    <x:row r="11" spans="2:12" x14ac:dyDescent="0.2">
      <x:c r="B11" s="3" t="s">
        <x:v>9</x:v>
      </x:c>
      <x:c r="C11" s="7" t="s">
        <x:v>9</x:v>
      </x:c>
    </x:row>
    <x:row r="12" spans="2:12" ht="32" x14ac:dyDescent="0.2">
      <x:c r="B12" s="6" t="s">
        <x:v>10</x:v>
      </x:c>
      <x:c r="C12" s="7">
        <x:f>"Line"&amp;CHAR(10)&amp;"Break"</x:f>
      </x:c>
    </x:row>
    <x:row r="13" spans="2:12" x14ac:dyDescent="0.2"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5" spans="2:12" x14ac:dyDescent="0.2">
      <x:c r="B15" s="4" t="s">
        <x:v>11</x:v>
      </x:c>
      <x:c r="C15" s="4"/>
      <x:c r="D15" s="4"/>
      <x:c r="E15" s="4"/>
      <x:c r="F15" s="4"/>
      <x:c r="G15" s="4"/>
      <x:c r="H15" s="4"/>
      <x:c r="I15" s="4"/>
      <x:c r="J15" s="4"/>
      <x:c r="K15" s="4"/>
    </x:row>
    <x:row r="16" spans="2:12" x14ac:dyDescent="0.2">
      <x:c r="B16" s="11" t="s">
        <x:v>1</x:v>
      </x:c>
      <x:c r="C16" s="12" t="s">
        <x:v>4</x:v>
      </x:c>
      <x:c r="D16" s="12" t="s">
        <x:v>5</x:v>
      </x:c>
      <x:c r="E16" s="12" t="s">
        <x:v>6</x:v>
      </x:c>
      <x:c r="F16" s="12" t="s">
        <x:v>7</x:v>
      </x:c>
      <x:c r="G16" s="12">
        <x:v>123</x:v>
      </x:c>
      <x:c r="H16" s="12" t="s">
        <x:v>8</x:v>
      </x:c>
      <x:c r="I16" s="12" t="s">
        <x:v>9</x:v>
      </x:c>
      <x:c r="J16" s="12" t="s">
        <x:v>12</x:v>
      </x:c>
    </x:row>
    <x:row r="17" spans="2:11" x14ac:dyDescent="0.2">
      <x:c r="B17" s="5" t="s">
        <x:v>4</x:v>
      </x:c>
      <x:c r="C17" s="13">
        <x:f>CONCATENATE($C$5,$C$5)</x:f>
      </x:c>
      <x:c r="D17" s="13">
        <x:f>CONCATENATE($C$5,$C$6)</x:f>
      </x:c>
      <x:c r="E17" s="13">
        <x:f>CONCATENATE($C$5,$C$7)</x:f>
      </x:c>
      <x:c r="F17" s="13">
        <x:f>CONCATENATE($C$5,$C$8)</x:f>
      </x:c>
      <x:c r="G17" s="13">
        <x:f>CONCATENATE($C$5,$C$9)</x:f>
      </x:c>
      <x:c r="H17" s="13">
        <x:f>CONCATENATE($C$5,$C$10)</x:f>
      </x:c>
      <x:c r="I17" s="13">
        <x:f>CONCATENATE($C$5,$C$11)</x:f>
      </x:c>
      <x:c r="J17" s="13">
        <x:f>CONCATENATE($C$5,$C$12)</x:f>
      </x:c>
    </x:row>
    <x:row r="18" spans="2:11" x14ac:dyDescent="0.2">
      <x:c r="B18" s="5" t="s">
        <x:v>5</x:v>
      </x:c>
      <x:c r="C18" s="13">
        <x:f>CONCATENATE($C$6,$C$5)</x:f>
      </x:c>
      <x:c r="D18" s="13">
        <x:f>CONCATENATE($C$6,$C$6)</x:f>
      </x:c>
      <x:c r="E18" s="13">
        <x:f>CONCATENATE($C$6,$C$7)</x:f>
      </x:c>
      <x:c r="F18" s="13">
        <x:f>CONCATENATE($C$6,$C$8)</x:f>
      </x:c>
      <x:c r="G18" s="13">
        <x:f>CONCATENATE($C$6,$C$9)</x:f>
      </x:c>
      <x:c r="H18" s="13">
        <x:f>CONCATENATE($C$6,$C$10)</x:f>
      </x:c>
      <x:c r="I18" s="13">
        <x:f>CONCATENATE($C$6,$C$11)</x:f>
      </x:c>
      <x:c r="J18" s="13">
        <x:f>CONCATENATE($C$6,$C$12)</x:f>
      </x:c>
    </x:row>
    <x:row r="19" spans="2:11" x14ac:dyDescent="0.2">
      <x:c r="B19" s="5" t="s">
        <x:v>6</x:v>
      </x:c>
      <x:c r="C19" s="13">
        <x:f>CONCATENATE($C$7,$C$5)</x:f>
      </x:c>
      <x:c r="D19" s="13">
        <x:f>CONCATENATE($C$7,$C$6)</x:f>
      </x:c>
      <x:c r="E19" s="13">
        <x:f>CONCATENATE($C$7,$C$7)</x:f>
      </x:c>
      <x:c r="F19" s="13">
        <x:f>CONCATENATE($C$7,$C$8)</x:f>
      </x:c>
      <x:c r="G19" s="13">
        <x:f>CONCATENATE($C$7,$C$9)</x:f>
      </x:c>
      <x:c r="H19" s="13">
        <x:f>CONCATENATE($C$7,$C$10)</x:f>
      </x:c>
      <x:c r="I19" s="13">
        <x:f>CONCATENATE($C$7,$C$11)</x:f>
      </x:c>
      <x:c r="J19" s="13">
        <x:f>CONCATENATE($C$7,$C$12)</x:f>
      </x:c>
    </x:row>
    <x:row r="20" spans="2:11" x14ac:dyDescent="0.2">
      <x:c r="B20" s="5" t="s">
        <x:v>7</x:v>
      </x:c>
      <x:c r="C20" s="13">
        <x:f>CONCATENATE($C$8,$C$5)</x:f>
      </x:c>
      <x:c r="D20" s="13">
        <x:f>CONCATENATE($C$8,$C$6)</x:f>
      </x:c>
      <x:c r="E20" s="13">
        <x:f>CONCATENATE($C$8,$C$7)</x:f>
      </x:c>
      <x:c r="F20" s="13">
        <x:f>CONCATENATE($C$8,$C$8)</x:f>
      </x:c>
      <x:c r="G20" s="13">
        <x:f>CONCATENATE($C$8,$C$9)</x:f>
      </x:c>
      <x:c r="H20" s="13">
        <x:f>CONCATENATE($C$8,$C$10)</x:f>
      </x:c>
      <x:c r="I20" s="13">
        <x:f>CONCATENATE($C$8,$C$11)</x:f>
      </x:c>
      <x:c r="J20" s="13">
        <x:f>CONCATENATE($C$8,$C$12)</x:f>
      </x:c>
    </x:row>
    <x:row r="21" spans="2:11" x14ac:dyDescent="0.2">
      <x:c r="B21" s="5">
        <x:v>123</x:v>
      </x:c>
      <x:c r="C21" s="13">
        <x:f>CONCATENATE($C$9,$C$5)</x:f>
      </x:c>
      <x:c r="D21" s="13">
        <x:f>CONCATENATE($C$9,$C$6)</x:f>
      </x:c>
      <x:c r="E21" s="13">
        <x:f>CONCATENATE($C$9,$C$7)</x:f>
      </x:c>
      <x:c r="F21" s="13">
        <x:f>CONCATENATE($C$9,$C$8)</x:f>
      </x:c>
      <x:c r="G21" s="13">
        <x:f>CONCATENATE($C$9,$C$9)</x:f>
      </x:c>
      <x:c r="H21" s="13">
        <x:f>CONCATENATE($C$9,$C$10)</x:f>
      </x:c>
      <x:c r="I21" s="13">
        <x:f>CONCATENATE($C$9,$C$11)</x:f>
      </x:c>
      <x:c r="J21" s="13">
        <x:f>CONCATENATE($C$9,$C$12)</x:f>
      </x:c>
    </x:row>
    <x:row r="22" spans="2:11" x14ac:dyDescent="0.2">
      <x:c r="B22" s="5" t="s">
        <x:v>8</x:v>
      </x:c>
      <x:c r="C22" s="13">
        <x:f>CONCATENATE($C$10,$C$5)</x:f>
      </x:c>
      <x:c r="D22" s="13">
        <x:f>CONCATENATE($C$10,$C$6)</x:f>
      </x:c>
      <x:c r="E22" s="13">
        <x:f>CONCATENATE($C$10,$C$7)</x:f>
      </x:c>
      <x:c r="F22" s="13">
        <x:f>CONCATENATE($C$10,$C$8)</x:f>
      </x:c>
      <x:c r="G22" s="13">
        <x:f>CONCATENATE($C$10,$C$9)</x:f>
      </x:c>
      <x:c r="H22" s="13">
        <x:f>CONCATENATE($C$10,$C$10)</x:f>
      </x:c>
      <x:c r="I22" s="13">
        <x:f>CONCATENATE($C$10,$C$11)</x:f>
      </x:c>
      <x:c r="J22" s="13">
        <x:f>CONCATENATE($C$10,$C$12)</x:f>
      </x:c>
    </x:row>
    <x:row r="23" spans="2:11" x14ac:dyDescent="0.2">
      <x:c r="B23" s="5" t="s">
        <x:v>9</x:v>
      </x:c>
      <x:c r="C23" s="13">
        <x:f>CONCATENATE($C$11,$C$5)</x:f>
      </x:c>
      <x:c r="D23" s="13">
        <x:f>CONCATENATE($C$11,$C$6)</x:f>
      </x:c>
      <x:c r="E23" s="13">
        <x:f>CONCATENATE($C$11,$C$7)</x:f>
      </x:c>
      <x:c r="F23" s="13">
        <x:f>CONCATENATE($C$11,$C$8)</x:f>
      </x:c>
      <x:c r="G23" s="13">
        <x:f>CONCATENATE($C$11,$C$9)</x:f>
      </x:c>
      <x:c r="H23" s="13">
        <x:f>CONCATENATE($C$11,$C$10)</x:f>
      </x:c>
      <x:c r="I23" s="13">
        <x:f>CONCATENATE($C$11,$C$11)</x:f>
      </x:c>
      <x:c r="J23" s="13">
        <x:f>CONCATENATE($C$11,$C$12)</x:f>
      </x:c>
    </x:row>
    <x:row r="24" spans="2:11" x14ac:dyDescent="0.2">
      <x:c r="B24" s="5" t="s">
        <x:v>12</x:v>
      </x:c>
      <x:c r="C24" s="13">
        <x:f>CONCATENATE($C$12,$C$5)</x:f>
      </x:c>
      <x:c r="D24" s="13">
        <x:f>CONCATENATE($C$12,$C$6)</x:f>
      </x:c>
      <x:c r="E24" s="13">
        <x:f>CONCATENATE($C$12,$C$7)</x:f>
      </x:c>
      <x:c r="F24" s="13">
        <x:f>CONCATENATE($C$12,$C$8)</x:f>
      </x:c>
      <x:c r="G24" s="13">
        <x:f>CONCATENATE($C$12,$C$9)</x:f>
      </x:c>
      <x:c r="H24" s="13">
        <x:f>CONCATENATE($C$12,$C$10)</x:f>
      </x:c>
      <x:c r="I24" s="13">
        <x:f>CONCATENATE($C$12,$C$11)</x:f>
      </x:c>
      <x:c r="J24" s="13">
        <x:f>CONCATENATE($C$12,$C$12)</x:f>
      </x:c>
    </x:row>
    <x:row r="26" spans="2:11" x14ac:dyDescent="0.2">
      <x:c r="B26" s="14" t="s">
        <x:v>13</x:v>
      </x:c>
      <x:c r="C26" s="4"/>
      <x:c r="D26" s="4"/>
      <x:c r="E26" s="4"/>
      <x:c r="F26" s="4"/>
      <x:c r="G26" s="4"/>
      <x:c r="H26" s="4"/>
      <x:c r="I26" s="4"/>
      <x:c r="J26" s="4"/>
      <x:c r="K26" s="4"/>
    </x:row>
    <x:row r="27" spans="2:11" x14ac:dyDescent="0.2">
      <x:c r="B27" s="11" t="s">
        <x:v>1</x:v>
      </x:c>
      <x:c r="C27" s="12" t="s">
        <x:v>4</x:v>
      </x:c>
      <x:c r="D27" s="12" t="s">
        <x:v>5</x:v>
      </x:c>
      <x:c r="E27" s="12" t="s">
        <x:v>6</x:v>
      </x:c>
      <x:c r="F27" s="12" t="s">
        <x:v>7</x:v>
      </x:c>
      <x:c r="G27" s="12">
        <x:v>123</x:v>
      </x:c>
      <x:c r="H27" s="12" t="s">
        <x:v>8</x:v>
      </x:c>
      <x:c r="I27" s="12" t="s">
        <x:v>9</x:v>
      </x:c>
      <x:c r="J27" s="12" t="s">
        <x:v>12</x:v>
      </x:c>
    </x:row>
    <x:row r="28" spans="2:11" x14ac:dyDescent="0.2">
      <x:c r="B28" s="5" t="s">
        <x:v>4</x:v>
      </x:c>
      <x:c r="C28" s="13">
        <x:f>_xlfn.CONCAT($C$5,$C$5)</x:f>
      </x:c>
      <x:c r="D28" s="13">
        <x:f>_xlfn.CONCAT($C$5,$C$6)</x:f>
      </x:c>
      <x:c r="E28" s="13">
        <x:f>_xlfn.CONCAT($C$5,$C$7)</x:f>
      </x:c>
      <x:c r="F28" s="13">
        <x:f>_xlfn.CONCAT($C$5,$C$8)</x:f>
      </x:c>
      <x:c r="G28" s="13">
        <x:f>_xlfn.CONCAT($C$5,$C$9)</x:f>
      </x:c>
      <x:c r="H28" s="13">
        <x:f>_xlfn.CONCAT($C$5,$C$10)</x:f>
      </x:c>
      <x:c r="I28" s="13">
        <x:f>_xlfn.CONCAT($C$5,$C$11)</x:f>
      </x:c>
      <x:c r="J28" s="13">
        <x:f>_xlfn.CONCAT($C$5,$C$12)</x:f>
      </x:c>
    </x:row>
    <x:row r="29" spans="2:11" x14ac:dyDescent="0.2">
      <x:c r="B29" s="5" t="s">
        <x:v>5</x:v>
      </x:c>
      <x:c r="C29" s="13">
        <x:f>_xlfn.CONCAT($C$6,$C$5)</x:f>
      </x:c>
      <x:c r="D29" s="13">
        <x:f>_xlfn.CONCAT($C$6,$C$6)</x:f>
      </x:c>
      <x:c r="E29" s="13">
        <x:f>_xlfn.CONCAT($C$6,$C$7)</x:f>
      </x:c>
      <x:c r="F29" s="13">
        <x:f>_xlfn.CONCAT($C$6,$C$8)</x:f>
      </x:c>
      <x:c r="G29" s="13">
        <x:f>_xlfn.CONCAT($C$6,$C$9)</x:f>
      </x:c>
      <x:c r="H29" s="13">
        <x:f>_xlfn.CONCAT($C$6,$C$10)</x:f>
      </x:c>
      <x:c r="I29" s="13">
        <x:f>_xlfn.CONCAT($C$6,$C$11)</x:f>
      </x:c>
      <x:c r="J29" s="13">
        <x:f>_xlfn.CONCAT($C$6,$C$12)</x:f>
      </x:c>
    </x:row>
    <x:row r="30" spans="2:11" x14ac:dyDescent="0.2">
      <x:c r="B30" s="5" t="s">
        <x:v>6</x:v>
      </x:c>
      <x:c r="C30" s="13">
        <x:f>_xlfn.CONCAT($C$7,$C$5)</x:f>
      </x:c>
      <x:c r="D30" s="13">
        <x:f>_xlfn.CONCAT($C$7,$C$6)</x:f>
      </x:c>
      <x:c r="E30" s="13">
        <x:f>_xlfn.CONCAT($C$7,$C$7)</x:f>
      </x:c>
      <x:c r="F30" s="13">
        <x:f>_xlfn.CONCAT($C$7,$C$8)</x:f>
      </x:c>
      <x:c r="G30" s="13">
        <x:f>_xlfn.CONCAT($C$7,$C$9)</x:f>
      </x:c>
      <x:c r="H30" s="13">
        <x:f>_xlfn.CONCAT($C$7,$C$10)</x:f>
      </x:c>
      <x:c r="I30" s="13">
        <x:f>_xlfn.CONCAT($C$7,$C$11)</x:f>
      </x:c>
      <x:c r="J30" s="13">
        <x:f>_xlfn.CONCAT($C$7,$C$12)</x:f>
      </x:c>
    </x:row>
    <x:row r="31" spans="2:11" x14ac:dyDescent="0.2">
      <x:c r="B31" s="5" t="s">
        <x:v>7</x:v>
      </x:c>
      <x:c r="C31" s="13">
        <x:f>_xlfn.CONCAT($C$8,$C$5)</x:f>
      </x:c>
      <x:c r="D31" s="13">
        <x:f>_xlfn.CONCAT($C$8,$C$6)</x:f>
      </x:c>
      <x:c r="E31" s="13">
        <x:f>_xlfn.CONCAT($C$8,$C$7)</x:f>
      </x:c>
      <x:c r="F31" s="13">
        <x:f>_xlfn.CONCAT($C$8,$C$8)</x:f>
      </x:c>
      <x:c r="G31" s="13">
        <x:f>_xlfn.CONCAT($C$8,$C$9)</x:f>
      </x:c>
      <x:c r="H31" s="13">
        <x:f>_xlfn.CONCAT($C$8,$C$10)</x:f>
      </x:c>
      <x:c r="I31" s="13">
        <x:f>_xlfn.CONCAT($C$8,$C$11)</x:f>
      </x:c>
      <x:c r="J31" s="13">
        <x:f>_xlfn.CONCAT($C$8,$C$12)</x:f>
      </x:c>
    </x:row>
    <x:row r="32" spans="2:11" x14ac:dyDescent="0.2">
      <x:c r="B32" s="5">
        <x:v>123</x:v>
      </x:c>
      <x:c r="C32" s="13">
        <x:f>_xlfn.CONCAT($C$9,$C$5)</x:f>
      </x:c>
      <x:c r="D32" s="13">
        <x:f>_xlfn.CONCAT($C$9,$C$6)</x:f>
      </x:c>
      <x:c r="E32" s="13">
        <x:f>_xlfn.CONCAT($C$9,$C$7)</x:f>
      </x:c>
      <x:c r="F32" s="13">
        <x:f>_xlfn.CONCAT($C$9,$C$8)</x:f>
      </x:c>
      <x:c r="G32" s="13">
        <x:f>_xlfn.CONCAT($C$9,$C$9)</x:f>
      </x:c>
      <x:c r="H32" s="13">
        <x:f>_xlfn.CONCAT($C$9,$C$10)</x:f>
      </x:c>
      <x:c r="I32" s="13">
        <x:f>_xlfn.CONCAT($C$9,$C$11)</x:f>
      </x:c>
      <x:c r="J32" s="13">
        <x:f>_xlfn.CONCAT($C$9,$C$12)</x:f>
      </x:c>
    </x:row>
    <x:row r="33" spans="2:11" x14ac:dyDescent="0.2">
      <x:c r="B33" s="5" t="s">
        <x:v>8</x:v>
      </x:c>
      <x:c r="C33" s="13">
        <x:f>_xlfn.CONCAT($C$10,$C$5)</x:f>
      </x:c>
      <x:c r="D33" s="13">
        <x:f>_xlfn.CONCAT($C$10,$C$6)</x:f>
      </x:c>
      <x:c r="E33" s="13">
        <x:f>_xlfn.CONCAT($C$10,$C$7)</x:f>
      </x:c>
      <x:c r="F33" s="13">
        <x:f>_xlfn.CONCAT($C$10,$C$8)</x:f>
      </x:c>
      <x:c r="G33" s="13">
        <x:f>_xlfn.CONCAT($C$10,$C$9)</x:f>
      </x:c>
      <x:c r="H33" s="13">
        <x:f>_xlfn.CONCAT($C$10,$C$10)</x:f>
      </x:c>
      <x:c r="I33" s="13">
        <x:f>_xlfn.CONCAT($C$10,$C$11)</x:f>
      </x:c>
      <x:c r="J33" s="13">
        <x:f>_xlfn.CONCAT($C$10,$C$12)</x:f>
      </x:c>
    </x:row>
    <x:row r="34" spans="2:11" x14ac:dyDescent="0.2">
      <x:c r="B34" s="5" t="s">
        <x:v>9</x:v>
      </x:c>
      <x:c r="C34" s="13">
        <x:f>_xlfn.CONCAT($C$11,$C$5)</x:f>
      </x:c>
      <x:c r="D34" s="13">
        <x:f>_xlfn.CONCAT($C$11,$C$6)</x:f>
      </x:c>
      <x:c r="E34" s="13">
        <x:f>_xlfn.CONCAT($C$11,$C$7)</x:f>
      </x:c>
      <x:c r="F34" s="13">
        <x:f>_xlfn.CONCAT($C$11,$C$8)</x:f>
      </x:c>
      <x:c r="G34" s="13">
        <x:f>_xlfn.CONCAT($C$11,$C$9)</x:f>
      </x:c>
      <x:c r="H34" s="13">
        <x:f>_xlfn.CONCAT($C$11,$C$10)</x:f>
      </x:c>
      <x:c r="I34" s="13">
        <x:f>_xlfn.CONCAT($C$11,$C$11)</x:f>
      </x:c>
      <x:c r="J34" s="13">
        <x:f>_xlfn.CONCAT($C$11,$C$12)</x:f>
      </x:c>
    </x:row>
    <x:row r="35" spans="2:11" x14ac:dyDescent="0.2">
      <x:c r="B35" s="5" t="s">
        <x:v>12</x:v>
      </x:c>
      <x:c r="C35" s="13">
        <x:f>_xlfn.CONCAT($C$12,$C$5)</x:f>
      </x:c>
      <x:c r="D35" s="13">
        <x:f>_xlfn.CONCAT($C$12,$C$6)</x:f>
      </x:c>
      <x:c r="E35" s="13">
        <x:f>_xlfn.CONCAT($C$12,$C$7)</x:f>
      </x:c>
      <x:c r="F35" s="13">
        <x:f>_xlfn.CONCAT($C$12,$C$8)</x:f>
      </x:c>
      <x:c r="G35" s="13">
        <x:f>_xlfn.CONCAT($C$12,$C$9)</x:f>
      </x:c>
      <x:c r="H35" s="13">
        <x:f>_xlfn.CONCAT($C$12,$C$10)</x:f>
      </x:c>
      <x:c r="I35" s="13">
        <x:f>_xlfn.CONCAT($C$12,$C$11)</x:f>
      </x:c>
      <x:c r="J35" s="13">
        <x:f>_xlfn.CONCAT($C$12,$C$12)</x:f>
      </x:c>
    </x:row>
    <x:row r="37" spans="2:11" x14ac:dyDescent="0.2">
      <x:c r="B37" s="14" t="s">
        <x:v>14</x:v>
      </x:c>
      <x:c r="C37" s="4"/>
      <x:c r="D37" s="4"/>
      <x:c r="E37" s="4"/>
      <x:c r="F37" s="4"/>
      <x:c r="G37" s="4"/>
      <x:c r="H37" s="4"/>
      <x:c r="I37" s="4"/>
      <x:c r="J37" s="4"/>
      <x:c r="K37" s="4"/>
    </x:row>
    <x:row r="38" spans="2:11" x14ac:dyDescent="0.2">
      <x:c r="B38" s="11" t="s">
        <x:v>1</x:v>
      </x:c>
      <x:c r="C38" s="12" t="s">
        <x:v>4</x:v>
      </x:c>
      <x:c r="D38" s="12" t="s">
        <x:v>5</x:v>
      </x:c>
      <x:c r="E38" s="12" t="s">
        <x:v>6</x:v>
      </x:c>
      <x:c r="F38" s="12" t="s">
        <x:v>7</x:v>
      </x:c>
      <x:c r="G38" s="12">
        <x:v>123</x:v>
      </x:c>
      <x:c r="H38" s="12" t="s">
        <x:v>8</x:v>
      </x:c>
      <x:c r="I38" s="12" t="s">
        <x:v>9</x:v>
      </x:c>
      <x:c r="J38" s="12" t="s">
        <x:v>12</x:v>
      </x:c>
    </x:row>
    <x:row r="39" spans="2:11" x14ac:dyDescent="0.2">
      <x:c r="B39" s="5" t="s">
        <x:v>4</x:v>
      </x:c>
      <x:c r="C39" s="13">
        <x:f>_xlfn.TEXTJOIN(", ",TRUE,$C$5,$C$5)</x:f>
      </x:c>
      <x:c r="D39" s="13">
        <x:f>_xlfn.TEXTJOIN(", ",TRUE,$C$5,$C$6)</x:f>
      </x:c>
      <x:c r="E39" s="13">
        <x:f>_xlfn.TEXTJOIN(", ",TRUE,$C$5,$C$7)</x:f>
      </x:c>
      <x:c r="F39" s="13">
        <x:f>_xlfn.TEXTJOIN(", ",TRUE,$C$5,$C$8)</x:f>
      </x:c>
      <x:c r="G39" s="13">
        <x:f>_xlfn.TEXTJOIN(", ",TRUE,$C$5,$C$9)</x:f>
      </x:c>
      <x:c r="H39" s="13">
        <x:f>_xlfn.TEXTJOIN(", ",TRUE,$C$5,$C$10)</x:f>
      </x:c>
      <x:c r="I39" s="13">
        <x:f>_xlfn.TEXTJOIN(", ",TRUE,$C$5,$C$11)</x:f>
      </x:c>
      <x:c r="J39" s="13">
        <x:f>_xlfn.TEXTJOIN(", ",TRUE,$C$5,$C$12)</x:f>
      </x:c>
    </x:row>
    <x:row r="40" spans="2:11" x14ac:dyDescent="0.2">
      <x:c r="B40" s="5" t="s">
        <x:v>5</x:v>
      </x:c>
      <x:c r="C40" s="13">
        <x:f>_xlfn.TEXTJOIN(", ",TRUE,$C$6,$C$5)</x:f>
      </x:c>
      <x:c r="D40" s="13">
        <x:f>_xlfn.TEXTJOIN(", ",TRUE,$C$6,$C$6)</x:f>
      </x:c>
      <x:c r="E40" s="13">
        <x:f>_xlfn.TEXTJOIN(", ",TRUE,$C$6,$C$7)</x:f>
      </x:c>
      <x:c r="F40" s="13">
        <x:f>_xlfn.TEXTJOIN(", ",TRUE,$C$6,$C$8)</x:f>
      </x:c>
      <x:c r="G40" s="13">
        <x:f>_xlfn.TEXTJOIN(", ",TRUE,$C$6,$C$9)</x:f>
      </x:c>
      <x:c r="H40" s="13">
        <x:f>_xlfn.TEXTJOIN(", ",TRUE,$C$6,$C$10)</x:f>
      </x:c>
      <x:c r="I40" s="13">
        <x:f>_xlfn.TEXTJOIN(", ",TRUE,$C$6,$C$11)</x:f>
      </x:c>
      <x:c r="J40" s="13">
        <x:f>_xlfn.TEXTJOIN(", ",TRUE,$C$6,$C$12)</x:f>
      </x:c>
    </x:row>
    <x:row r="41" spans="2:11" x14ac:dyDescent="0.2">
      <x:c r="B41" s="5" t="s">
        <x:v>6</x:v>
      </x:c>
      <x:c r="C41" s="13">
        <x:f>_xlfn.TEXTJOIN(", ",TRUE,$C$7,$C$5)</x:f>
      </x:c>
      <x:c r="D41" s="13">
        <x:f>_xlfn.TEXTJOIN(", ",TRUE,$C$7,$C$6)</x:f>
      </x:c>
      <x:c r="E41" s="13">
        <x:f>_xlfn.TEXTJOIN(", ",TRUE,$C$7,$C$7)</x:f>
      </x:c>
      <x:c r="F41" s="13">
        <x:f>_xlfn.TEXTJOIN(", ",TRUE,$C$7,$C$8)</x:f>
      </x:c>
      <x:c r="G41" s="13">
        <x:f>_xlfn.TEXTJOIN(", ",TRUE,$C$7,$C$9)</x:f>
      </x:c>
      <x:c r="H41" s="13">
        <x:f>_xlfn.TEXTJOIN(", ",TRUE,$C$7,$C$10)</x:f>
      </x:c>
      <x:c r="I41" s="13">
        <x:f>_xlfn.TEXTJOIN(", ",TRUE,$C$7,$C$11)</x:f>
      </x:c>
      <x:c r="J41" s="13">
        <x:f>_xlfn.TEXTJOIN(", ",TRUE,$C$7,$C$12)</x:f>
      </x:c>
    </x:row>
    <x:row r="42" spans="2:11" x14ac:dyDescent="0.2">
      <x:c r="B42" s="5" t="s">
        <x:v>7</x:v>
      </x:c>
      <x:c r="C42" s="13">
        <x:f>_xlfn.TEXTJOIN(", ",TRUE,$C$8,$C$5)</x:f>
      </x:c>
      <x:c r="D42" s="13">
        <x:f>_xlfn.TEXTJOIN(", ",TRUE,$C$8,$C$6)</x:f>
      </x:c>
      <x:c r="E42" s="13">
        <x:f>_xlfn.TEXTJOIN(", ",TRUE,$C$8,$C$7)</x:f>
      </x:c>
      <x:c r="F42" s="13">
        <x:f>_xlfn.TEXTJOIN(", ",TRUE,$C$8,$C$8)</x:f>
      </x:c>
      <x:c r="G42" s="13">
        <x:f>_xlfn.TEXTJOIN(", ",TRUE,$C$8,$C$9)</x:f>
      </x:c>
      <x:c r="H42" s="13">
        <x:f>_xlfn.TEXTJOIN(", ",TRUE,$C$8,$C$10)</x:f>
      </x:c>
      <x:c r="I42" s="13">
        <x:f>_xlfn.TEXTJOIN(", ",TRUE,$C$8,$C$11)</x:f>
      </x:c>
      <x:c r="J42" s="13">
        <x:f>_xlfn.TEXTJOIN(", ",TRUE,$C$8,$C$12)</x:f>
      </x:c>
    </x:row>
    <x:row r="43" spans="2:11" x14ac:dyDescent="0.2">
      <x:c r="B43" s="5">
        <x:v>123</x:v>
      </x:c>
      <x:c r="C43" s="13">
        <x:f>_xlfn.TEXTJOIN(", ",TRUE,$C$9,$C$5)</x:f>
      </x:c>
      <x:c r="D43" s="13">
        <x:f>_xlfn.TEXTJOIN(", ",TRUE,$C$9,$C$6)</x:f>
      </x:c>
      <x:c r="E43" s="13">
        <x:f>_xlfn.TEXTJOIN(", ",TRUE,$C$9,$C$7)</x:f>
      </x:c>
      <x:c r="F43" s="13">
        <x:f>_xlfn.TEXTJOIN(", ",TRUE,$C$9,$C$8)</x:f>
      </x:c>
      <x:c r="G43" s="13">
        <x:f>_xlfn.TEXTJOIN(", ",TRUE,$C$9,$C$9)</x:f>
      </x:c>
      <x:c r="H43" s="13">
        <x:f>_xlfn.TEXTJOIN(", ",TRUE,$C$9,$C$10)</x:f>
      </x:c>
      <x:c r="I43" s="13">
        <x:f>_xlfn.TEXTJOIN(", ",TRUE,$C$9,$C$11)</x:f>
      </x:c>
      <x:c r="J43" s="13">
        <x:f>_xlfn.TEXTJOIN(", ",TRUE,$C$9,$C$12)</x:f>
      </x:c>
    </x:row>
    <x:row r="44" spans="2:11" x14ac:dyDescent="0.2">
      <x:c r="B44" s="5" t="s">
        <x:v>8</x:v>
      </x:c>
      <x:c r="C44" s="13">
        <x:f>_xlfn.TEXTJOIN(", ",TRUE,$C$10,$C$5)</x:f>
      </x:c>
      <x:c r="D44" s="13">
        <x:f>_xlfn.TEXTJOIN(", ",TRUE,$C$10,$C$6)</x:f>
      </x:c>
      <x:c r="E44" s="13">
        <x:f>_xlfn.TEXTJOIN(", ",TRUE,$C$10,$C$7)</x:f>
      </x:c>
      <x:c r="F44" s="13">
        <x:f>_xlfn.TEXTJOIN(", ",TRUE,$C$10,$C$8)</x:f>
      </x:c>
      <x:c r="G44" s="13">
        <x:f>_xlfn.TEXTJOIN(", ",TRUE,$C$10,$C$9)</x:f>
      </x:c>
      <x:c r="H44" s="13">
        <x:f>_xlfn.TEXTJOIN(", ",TRUE,$C$10,$C$10)</x:f>
      </x:c>
      <x:c r="I44" s="13">
        <x:f>_xlfn.TEXTJOIN(", ",TRUE,$C$10,$C$11)</x:f>
      </x:c>
      <x:c r="J44" s="13">
        <x:f>_xlfn.TEXTJOIN(", ",TRUE,$C$10,$C$12)</x:f>
      </x:c>
    </x:row>
    <x:row r="45" spans="2:11" x14ac:dyDescent="0.2">
      <x:c r="B45" s="5" t="s">
        <x:v>9</x:v>
      </x:c>
      <x:c r="C45" s="13">
        <x:f>_xlfn.TEXTJOIN(", ",TRUE,$C$11,$C$5)</x:f>
      </x:c>
      <x:c r="D45" s="13">
        <x:f>_xlfn.TEXTJOIN(", ",TRUE,$C$11,$C$6)</x:f>
      </x:c>
      <x:c r="E45" s="13">
        <x:f>_xlfn.TEXTJOIN(", ",TRUE,$C$11,$C$7)</x:f>
      </x:c>
      <x:c r="F45" s="13">
        <x:f>_xlfn.TEXTJOIN(", ",TRUE,$C$11,$C$8)</x:f>
      </x:c>
      <x:c r="G45" s="13">
        <x:f>_xlfn.TEXTJOIN(", ",TRUE,$C$11,$C$9)</x:f>
      </x:c>
      <x:c r="H45" s="13">
        <x:f>_xlfn.TEXTJOIN(", ",TRUE,$C$11,$C$10)</x:f>
      </x:c>
      <x:c r="I45" s="13">
        <x:f>_xlfn.TEXTJOIN(", ",TRUE,$C$11,$C$11)</x:f>
      </x:c>
      <x:c r="J45" s="13">
        <x:f>_xlfn.TEXTJOIN(", ",TRUE,$C$11,$C$12)</x:f>
      </x:c>
    </x:row>
    <x:row r="46" spans="2:11" x14ac:dyDescent="0.2">
      <x:c r="B46" s="5" t="s">
        <x:v>12</x:v>
      </x:c>
      <x:c r="C46" s="13">
        <x:f>_xlfn.TEXTJOIN(", ",TRUE,$C$12,$C$5)</x:f>
      </x:c>
      <x:c r="D46" s="13">
        <x:f>_xlfn.TEXTJOIN(", ",TRUE,$C$12,$C$6)</x:f>
      </x:c>
      <x:c r="E46" s="13">
        <x:f>_xlfn.TEXTJOIN(", ",TRUE,$C$12,$C$7)</x:f>
      </x:c>
      <x:c r="F46" s="13">
        <x:f>_xlfn.TEXTJOIN(", ",TRUE,$C$12,$C$8)</x:f>
      </x:c>
      <x:c r="G46" s="13">
        <x:f>_xlfn.TEXTJOIN(", ",TRUE,$C$12,$C$9)</x:f>
      </x:c>
      <x:c r="H46" s="13">
        <x:f>_xlfn.TEXTJOIN(", ",TRUE,$C$12,$C$10)</x:f>
      </x:c>
      <x:c r="I46" s="13">
        <x:f>_xlfn.TEXTJOIN(", ",TRUE,$C$12,$C$11)</x:f>
      </x:c>
      <x:c r="J46" s="13">
        <x:f>_xlfn.TEXTJOIN(", ",TRUE,$C$12,$C$12)</x:f>
      </x:c>
    </x:row>
    <x:row r="48" spans="2:11" x14ac:dyDescent="0.2">
      <x:c r="B48" s="14" t="s">
        <x:v>15</x:v>
      </x:c>
      <x:c r="C48" s="4"/>
      <x:c r="D48" s="4"/>
      <x:c r="E48" s="4"/>
      <x:c r="F48" s="4"/>
      <x:c r="G48" s="4"/>
      <x:c r="H48" s="4"/>
      <x:c r="I48" s="4"/>
      <x:c r="J48" s="4"/>
      <x:c r="K48" s="4"/>
    </x:row>
    <x:row r="49" spans="2:11" x14ac:dyDescent="0.2">
      <x:c r="B49" s="11" t="s">
        <x:v>16</x:v>
      </x:c>
      <x:c r="C49" s="12">
        <x:v>1</x:v>
      </x:c>
      <x:c r="D49" s="12">
        <x:v>3</x:v>
      </x:c>
      <x:c r="E49" s="12">
        <x:v>5</x:v>
      </x:c>
      <x:c r="F49" s="12">
        <x:v>10</x:v>
      </x:c>
      <x:c r="G49" s="12">
        <x:v>100</x:v>
      </x:c>
      <x:c r="H49" s="12"/>
    </x:row>
    <x:row r="50" spans="2:11" x14ac:dyDescent="0.2">
      <x:c r="B50" s="5" t="s">
        <x:v>4</x:v>
      </x:c>
      <x:c r="C50" s="13">
        <x:f>LEFT($C$5,1)</x:f>
      </x:c>
      <x:c r="D50" s="13">
        <x:f>LEFT($C$5,3)</x:f>
      </x:c>
      <x:c r="E50" s="13">
        <x:f>LEFT($C$5,5)</x:f>
      </x:c>
      <x:c r="F50" s="13">
        <x:f>LEFT($C$5,10)</x:f>
      </x:c>
      <x:c r="G50" s="13">
        <x:f>LEFT($C$5,100)</x:f>
      </x:c>
    </x:row>
    <x:row r="51" spans="2:11" x14ac:dyDescent="0.2">
      <x:c r="B51" s="5" t="s">
        <x:v>5</x:v>
      </x:c>
      <x:c r="C51" s="13">
        <x:f>LEFT($C$6,1)</x:f>
      </x:c>
      <x:c r="D51" s="13">
        <x:f>LEFT($C$6,3)</x:f>
      </x:c>
      <x:c r="E51" s="13">
        <x:f>LEFT($C$6,5)</x:f>
      </x:c>
      <x:c r="F51" s="13">
        <x:f>LEFT($C$6,10)</x:f>
      </x:c>
      <x:c r="G51" s="13">
        <x:f>LEFT($C$6,100)</x:f>
      </x:c>
    </x:row>
    <x:row r="52" spans="2:11" x14ac:dyDescent="0.2">
      <x:c r="B52" s="5" t="s">
        <x:v>6</x:v>
      </x:c>
      <x:c r="C52" s="13">
        <x:f>LEFT($C$7,1)</x:f>
      </x:c>
      <x:c r="D52" s="13">
        <x:f>LEFT($C$7,3)</x:f>
      </x:c>
      <x:c r="E52" s="13">
        <x:f>LEFT($C$7,5)</x:f>
      </x:c>
      <x:c r="F52" s="13">
        <x:f>LEFT($C$7,10)</x:f>
      </x:c>
      <x:c r="G52" s="13">
        <x:f>LEFT($C$7,100)</x:f>
      </x:c>
    </x:row>
    <x:row r="53" spans="2:11" x14ac:dyDescent="0.2">
      <x:c r="B53" s="5" t="s">
        <x:v>7</x:v>
      </x:c>
      <x:c r="C53" s="13">
        <x:f>LEFT($C$8,1)</x:f>
      </x:c>
      <x:c r="D53" s="13">
        <x:f>LEFT($C$8,3)</x:f>
      </x:c>
      <x:c r="E53" s="13">
        <x:f>LEFT($C$8,5)</x:f>
      </x:c>
      <x:c r="F53" s="13">
        <x:f>LEFT($C$8,10)</x:f>
      </x:c>
      <x:c r="G53" s="13">
        <x:f>LEFT($C$8,100)</x:f>
      </x:c>
    </x:row>
    <x:row r="54" spans="2:11" x14ac:dyDescent="0.2">
      <x:c r="B54" s="5">
        <x:v>123</x:v>
      </x:c>
      <x:c r="C54" s="13">
        <x:f>LEFT($C$9,1)</x:f>
      </x:c>
      <x:c r="D54" s="13">
        <x:f>LEFT($C$9,3)</x:f>
      </x:c>
      <x:c r="E54" s="13">
        <x:f>LEFT($C$9,5)</x:f>
      </x:c>
      <x:c r="F54" s="13">
        <x:f>LEFT($C$9,10)</x:f>
      </x:c>
      <x:c r="G54" s="13">
        <x:f>LEFT($C$9,100)</x:f>
      </x:c>
    </x:row>
    <x:row r="55" spans="2:11" x14ac:dyDescent="0.2">
      <x:c r="B55" s="5" t="s">
        <x:v>8</x:v>
      </x:c>
      <x:c r="C55" s="13">
        <x:f>LEFT($C$10,1)</x:f>
      </x:c>
      <x:c r="D55" s="13">
        <x:f>LEFT($C$10,3)</x:f>
      </x:c>
      <x:c r="E55" s="13">
        <x:f>LEFT($C$10,5)</x:f>
      </x:c>
      <x:c r="F55" s="13">
        <x:f>LEFT($C$10,10)</x:f>
      </x:c>
      <x:c r="G55" s="13">
        <x:f>LEFT($C$10,100)</x:f>
      </x:c>
    </x:row>
    <x:row r="56" spans="2:11" x14ac:dyDescent="0.2">
      <x:c r="B56" s="5" t="s">
        <x:v>9</x:v>
      </x:c>
      <x:c r="C56" s="13">
        <x:f>LEFT($C$11,1)</x:f>
      </x:c>
      <x:c r="D56" s="13">
        <x:f>LEFT($C$11,3)</x:f>
      </x:c>
      <x:c r="E56" s="13">
        <x:f>LEFT($C$11,5)</x:f>
      </x:c>
      <x:c r="F56" s="13">
        <x:f>LEFT($C$11,10)</x:f>
      </x:c>
      <x:c r="G56" s="13">
        <x:f>LEFT($C$11,100)</x:f>
      </x:c>
    </x:row>
    <x:row r="57" spans="2:11" x14ac:dyDescent="0.2">
      <x:c r="B57" s="5" t="s">
        <x:v>12</x:v>
      </x:c>
      <x:c r="C57" s="13">
        <x:f>LEFT($C$12,1)</x:f>
      </x:c>
      <x:c r="D57" s="13">
        <x:f>LEFT($C$12,3)</x:f>
      </x:c>
      <x:c r="E57" s="13">
        <x:f>LEFT($C$12,5)</x:f>
      </x:c>
      <x:c r="F57" s="13">
        <x:f>LEFT($C$12,10)</x:f>
      </x:c>
      <x:c r="G57" s="13">
        <x:f>LEFT($C$12,100)</x:f>
      </x:c>
    </x:row>
    <x:row r="59" spans="2:11" x14ac:dyDescent="0.2">
      <x:c r="B59" s="14" t="s">
        <x:v>17</x:v>
      </x:c>
      <x:c r="C59" s="4"/>
      <x:c r="D59" s="4"/>
      <x:c r="E59" s="4"/>
      <x:c r="F59" s="4"/>
      <x:c r="G59" s="4"/>
      <x:c r="H59" s="4"/>
      <x:c r="I59" s="4"/>
      <x:c r="J59" s="4"/>
      <x:c r="K59" s="4"/>
    </x:row>
    <x:row r="60" spans="2:11" x14ac:dyDescent="0.2">
      <x:c r="B60" s="11" t="s">
        <x:v>16</x:v>
      </x:c>
      <x:c r="C60" s="12">
        <x:v>1</x:v>
      </x:c>
      <x:c r="D60" s="12">
        <x:v>3</x:v>
      </x:c>
      <x:c r="E60" s="12">
        <x:v>5</x:v>
      </x:c>
      <x:c r="F60" s="12">
        <x:v>10</x:v>
      </x:c>
      <x:c r="G60" s="12">
        <x:v>100</x:v>
      </x:c>
      <x:c r="H60" s="12"/>
    </x:row>
    <x:row r="61" spans="2:11" x14ac:dyDescent="0.2">
      <x:c r="B61" s="5" t="s">
        <x:v>4</x:v>
      </x:c>
      <x:c r="C61" s="13">
        <x:f>RIGHT($C$5,1)</x:f>
      </x:c>
      <x:c r="D61" s="13">
        <x:f>RIGHT($C$5,3)</x:f>
      </x:c>
      <x:c r="E61" s="13">
        <x:f>RIGHT($C$5,5)</x:f>
      </x:c>
      <x:c r="F61" s="13">
        <x:f>RIGHT($C$5,10)</x:f>
      </x:c>
      <x:c r="G61" s="13">
        <x:f>RIGHT($C$5,100)</x:f>
      </x:c>
    </x:row>
    <x:row r="62" spans="2:11" x14ac:dyDescent="0.2">
      <x:c r="B62" s="5" t="s">
        <x:v>5</x:v>
      </x:c>
      <x:c r="C62" s="13">
        <x:f>RIGHT($C$6,1)</x:f>
      </x:c>
      <x:c r="D62" s="13">
        <x:f>RIGHT($C$6,3)</x:f>
      </x:c>
      <x:c r="E62" s="13">
        <x:f>RIGHT($C$6,5)</x:f>
      </x:c>
      <x:c r="F62" s="13">
        <x:f>RIGHT($C$6,10)</x:f>
      </x:c>
      <x:c r="G62" s="13">
        <x:f>RIGHT($C$6,100)</x:f>
      </x:c>
    </x:row>
    <x:row r="63" spans="2:11" x14ac:dyDescent="0.2">
      <x:c r="B63" s="5" t="s">
        <x:v>6</x:v>
      </x:c>
      <x:c r="C63" s="13">
        <x:f>RIGHT($C$7,1)</x:f>
      </x:c>
      <x:c r="D63" s="13">
        <x:f>RIGHT($C$7,3)</x:f>
      </x:c>
      <x:c r="E63" s="13">
        <x:f>RIGHT($C$7,5)</x:f>
      </x:c>
      <x:c r="F63" s="13">
        <x:f>RIGHT($C$7,10)</x:f>
      </x:c>
      <x:c r="G63" s="13">
        <x:f>RIGHT($C$7,100)</x:f>
      </x:c>
    </x:row>
    <x:row r="64" spans="2:11" x14ac:dyDescent="0.2">
      <x:c r="B64" s="5" t="s">
        <x:v>7</x:v>
      </x:c>
      <x:c r="C64" s="13">
        <x:f>RIGHT($C$8,1)</x:f>
      </x:c>
      <x:c r="D64" s="13">
        <x:f>RIGHT($C$8,3)</x:f>
      </x:c>
      <x:c r="E64" s="13">
        <x:f>RIGHT($C$8,5)</x:f>
      </x:c>
      <x:c r="F64" s="13">
        <x:f>RIGHT($C$8,10)</x:f>
      </x:c>
      <x:c r="G64" s="13">
        <x:f>RIGHT($C$8,100)</x:f>
      </x:c>
    </x:row>
    <x:row r="65" spans="2:11" x14ac:dyDescent="0.2">
      <x:c r="B65" s="5">
        <x:v>123</x:v>
      </x:c>
      <x:c r="C65" s="13">
        <x:f>RIGHT($C$9,1)</x:f>
      </x:c>
      <x:c r="D65" s="13">
        <x:f>RIGHT($C$9,3)</x:f>
      </x:c>
      <x:c r="E65" s="13">
        <x:f>RIGHT($C$9,5)</x:f>
      </x:c>
      <x:c r="F65" s="13">
        <x:f>RIGHT($C$9,10)</x:f>
      </x:c>
      <x:c r="G65" s="13">
        <x:f>RIGHT($C$9,100)</x:f>
      </x:c>
    </x:row>
    <x:row r="66" spans="2:11" x14ac:dyDescent="0.2">
      <x:c r="B66" s="5" t="s">
        <x:v>8</x:v>
      </x:c>
      <x:c r="C66" s="13">
        <x:f>RIGHT($C$10,1)</x:f>
      </x:c>
      <x:c r="D66" s="13">
        <x:f>RIGHT($C$10,3)</x:f>
      </x:c>
      <x:c r="E66" s="13">
        <x:f>RIGHT($C$10,5)</x:f>
      </x:c>
      <x:c r="F66" s="13">
        <x:f>RIGHT($C$10,10)</x:f>
      </x:c>
      <x:c r="G66" s="13">
        <x:f>RIGHT($C$10,100)</x:f>
      </x:c>
    </x:row>
    <x:row r="67" spans="2:11" x14ac:dyDescent="0.2">
      <x:c r="B67" s="5" t="s">
        <x:v>9</x:v>
      </x:c>
      <x:c r="C67" s="13">
        <x:f>RIGHT($C$11,1)</x:f>
      </x:c>
      <x:c r="D67" s="13">
        <x:f>RIGHT($C$11,3)</x:f>
      </x:c>
      <x:c r="E67" s="13">
        <x:f>RIGHT($C$11,5)</x:f>
      </x:c>
      <x:c r="F67" s="13">
        <x:f>RIGHT($C$11,10)</x:f>
      </x:c>
      <x:c r="G67" s="13">
        <x:f>RIGHT($C$11,100)</x:f>
      </x:c>
    </x:row>
    <x:row r="68" spans="2:11" x14ac:dyDescent="0.2">
      <x:c r="B68" s="5" t="s">
        <x:v>12</x:v>
      </x:c>
      <x:c r="C68" s="13">
        <x:f>RIGHT($C$12,1)</x:f>
      </x:c>
      <x:c r="D68" s="13">
        <x:f>RIGHT($C$12,3)</x:f>
      </x:c>
      <x:c r="E68" s="13">
        <x:f>RIGHT($C$12,5)</x:f>
      </x:c>
      <x:c r="F68" s="13">
        <x:f>RIGHT($C$12,10)</x:f>
      </x:c>
      <x:c r="G68" s="13">
        <x:f>RIGHT($C$12,100)</x:f>
      </x:c>
    </x:row>
    <x:row r="70" spans="2:11" x14ac:dyDescent="0.2">
      <x:c r="B70" s="14" t="s">
        <x:v>18</x:v>
      </x:c>
      <x:c r="C70" s="4"/>
      <x:c r="D70" s="4"/>
      <x:c r="E70" s="4"/>
      <x:c r="F70" s="4"/>
      <x:c r="G70" s="4"/>
      <x:c r="H70" s="4"/>
      <x:c r="I70" s="4"/>
      <x:c r="J70" s="4"/>
      <x:c r="K70" s="4"/>
    </x:row>
    <x:row r="71" spans="2:11" x14ac:dyDescent="0.2">
      <x:c r="B71" s="11" t="s">
        <x:v>19</x:v>
      </x:c>
      <x:c r="C71" s="12" t="s">
        <x:v>20</x:v>
      </x:c>
      <x:c r="D71" s="12" t="s">
        <x:v>21</x:v>
      </x:c>
      <x:c r="E71" s="12" t="s">
        <x:v>22</x:v>
      </x:c>
      <x:c r="F71" s="12" t="s">
        <x:v>23</x:v>
      </x:c>
      <x:c r="G71" s="12" t="s">
        <x:v>24</x:v>
      </x:c>
      <x:c r="H71" s="16">
        <x:v>-1100</x:v>
      </x:c>
      <x:c r="I71" s="12" t="s">
        <x:v>25</x:v>
      </x:c>
    </x:row>
    <x:row r="72" spans="2:11" x14ac:dyDescent="0.2">
      <x:c r="B72" s="5" t="s">
        <x:v>4</x:v>
      </x:c>
      <x:c r="C72" s="13">
        <x:f>MID($C$5,1,1)</x:f>
      </x:c>
      <x:c r="D72" s="13">
        <x:f>MID($C$5,1,3)</x:f>
      </x:c>
      <x:c r="E72" s="13">
        <x:f>MID($C$5,1,5)</x:f>
      </x:c>
      <x:c r="F72" s="13">
        <x:f>MID($C$5,3,2)</x:f>
      </x:c>
      <x:c r="G72" s="13">
        <x:f>MID($C$5,5,3)</x:f>
      </x:c>
      <x:c r="H72" s="13">
        <x:f>MID($C$5,1,100)</x:f>
      </x:c>
      <x:c r="I72" s="13">
        <x:f>MID($C$5,7,5)</x:f>
      </x:c>
    </x:row>
    <x:row r="73" spans="2:11" x14ac:dyDescent="0.2">
      <x:c r="B73" s="5" t="s">
        <x:v>5</x:v>
      </x:c>
      <x:c r="C73" s="13">
        <x:f>MID($C$6,1,1)</x:f>
      </x:c>
      <x:c r="D73" s="13">
        <x:f>MID($C$6,1,3)</x:f>
      </x:c>
      <x:c r="E73" s="13">
        <x:f>MID($C$6,1,5)</x:f>
      </x:c>
      <x:c r="F73" s="13">
        <x:f>MID($C$6,3,2)</x:f>
      </x:c>
      <x:c r="G73" s="13">
        <x:f>MID($C$6,5,3)</x:f>
      </x:c>
      <x:c r="H73" s="13">
        <x:f>MID($C$6,1,100)</x:f>
      </x:c>
      <x:c r="I73" s="13">
        <x:f>MID($C$6,7,5)</x:f>
      </x:c>
    </x:row>
    <x:row r="74" spans="2:11" x14ac:dyDescent="0.2">
      <x:c r="B74" s="5" t="s">
        <x:v>6</x:v>
      </x:c>
      <x:c r="C74" s="13">
        <x:f>MID($C$7,1,1)</x:f>
      </x:c>
      <x:c r="D74" s="13">
        <x:f>MID($C$7,1,3)</x:f>
      </x:c>
      <x:c r="E74" s="13">
        <x:f>MID($C$7,1,5)</x:f>
      </x:c>
      <x:c r="F74" s="13">
        <x:f>MID($C$7,3,2)</x:f>
      </x:c>
      <x:c r="G74" s="13">
        <x:f>MID($C$7,5,3)</x:f>
      </x:c>
      <x:c r="H74" s="13">
        <x:f>MID($C$7,1,100)</x:f>
      </x:c>
      <x:c r="I74" s="13">
        <x:f>MID($C$7,7,5)</x:f>
      </x:c>
    </x:row>
    <x:row r="75" spans="2:11" x14ac:dyDescent="0.2">
      <x:c r="B75" s="5" t="s">
        <x:v>7</x:v>
      </x:c>
      <x:c r="C75" s="13">
        <x:f>MID($C$8,1,1)</x:f>
      </x:c>
      <x:c r="D75" s="13">
        <x:f>MID($C$8,1,3)</x:f>
      </x:c>
      <x:c r="E75" s="13">
        <x:f>MID($C$8,1,5)</x:f>
      </x:c>
      <x:c r="F75" s="13">
        <x:f>MID($C$8,3,2)</x:f>
      </x:c>
      <x:c r="G75" s="13">
        <x:f>MID($C$8,5,3)</x:f>
      </x:c>
      <x:c r="H75" s="13">
        <x:f>MID($C$8,1,100)</x:f>
      </x:c>
      <x:c r="I75" s="13">
        <x:f>MID($C$8,7,5)</x:f>
      </x:c>
    </x:row>
    <x:row r="76" spans="2:11" x14ac:dyDescent="0.2">
      <x:c r="B76" s="5">
        <x:v>123</x:v>
      </x:c>
      <x:c r="C76" s="13">
        <x:f>MID($C$9,1,1)</x:f>
      </x:c>
      <x:c r="D76" s="13">
        <x:f>MID($C$9,1,3)</x:f>
      </x:c>
      <x:c r="E76" s="13">
        <x:f>MID($C$9,1,5)</x:f>
      </x:c>
      <x:c r="F76" s="13">
        <x:f>MID($C$9,3,2)</x:f>
      </x:c>
      <x:c r="G76" s="13">
        <x:f>MID($C$9,5,3)</x:f>
      </x:c>
      <x:c r="H76" s="13">
        <x:f>MID($C$9,1,100)</x:f>
      </x:c>
      <x:c r="I76" s="13">
        <x:f>MID($C$9,7,5)</x:f>
      </x:c>
    </x:row>
    <x:row r="77" spans="2:11" x14ac:dyDescent="0.2">
      <x:c r="B77" s="5" t="s">
        <x:v>8</x:v>
      </x:c>
      <x:c r="C77" s="13">
        <x:f>MID($C$10,1,1)</x:f>
      </x:c>
      <x:c r="D77" s="13">
        <x:f>MID($C$10,1,3)</x:f>
      </x:c>
      <x:c r="E77" s="13">
        <x:f>MID($C$10,1,5)</x:f>
      </x:c>
      <x:c r="F77" s="13">
        <x:f>MID($C$10,3,2)</x:f>
      </x:c>
      <x:c r="G77" s="13">
        <x:f>MID($C$10,5,3)</x:f>
      </x:c>
      <x:c r="H77" s="13">
        <x:f>MID($C$10,1,100)</x:f>
      </x:c>
      <x:c r="I77" s="13">
        <x:f>MID($C$10,7,5)</x:f>
      </x:c>
    </x:row>
    <x:row r="78" spans="2:11" x14ac:dyDescent="0.2">
      <x:c r="B78" s="5" t="s">
        <x:v>9</x:v>
      </x:c>
      <x:c r="C78" s="13">
        <x:f>MID($C$11,1,1)</x:f>
      </x:c>
      <x:c r="D78" s="13">
        <x:f>MID($C$11,1,3)</x:f>
      </x:c>
      <x:c r="E78" s="13">
        <x:f>MID($C$11,1,5)</x:f>
      </x:c>
      <x:c r="F78" s="13">
        <x:f>MID($C$11,3,2)</x:f>
      </x:c>
      <x:c r="G78" s="13">
        <x:f>MID($C$11,5,3)</x:f>
      </x:c>
      <x:c r="H78" s="13">
        <x:f>MID($C$11,1,100)</x:f>
      </x:c>
      <x:c r="I78" s="13">
        <x:f>MID($C$11,7,5)</x:f>
      </x:c>
    </x:row>
    <x:row r="79" spans="2:11" x14ac:dyDescent="0.2">
      <x:c r="B79" s="5" t="s">
        <x:v>12</x:v>
      </x:c>
      <x:c r="C79" s="13">
        <x:f>MID($C$12,1,1)</x:f>
      </x:c>
      <x:c r="D79" s="13">
        <x:f>MID($C$12,1,3)</x:f>
      </x:c>
      <x:c r="E79" s="13">
        <x:f>MID($C$12,1,5)</x:f>
      </x:c>
      <x:c r="F79" s="13">
        <x:f>MID($C$12,3,2)</x:f>
      </x:c>
      <x:c r="G79" s="13">
        <x:f>MID($C$12,5,3)</x:f>
      </x:c>
      <x:c r="H79" s="13">
        <x:f>MID($C$12,1,100)</x:f>
      </x:c>
      <x:c r="I79" s="13">
        <x:f>MID($C$12,7,5)</x:f>
      </x:c>
    </x:row>
    <x:row r="81" spans="2:11" x14ac:dyDescent="0.2">
      <x:c r="B81" s="14" t="s">
        <x:v>26</x:v>
      </x:c>
      <x:c r="C81" s="4"/>
      <x:c r="D81" s="4"/>
      <x:c r="E81" s="4"/>
      <x:c r="F81" s="4"/>
      <x:c r="G81" s="4"/>
      <x:c r="H81" s="4"/>
      <x:c r="I81" s="4"/>
      <x:c r="J81" s="4"/>
      <x:c r="K81" s="4"/>
    </x:row>
    <x:row r="83" spans="2:11" x14ac:dyDescent="0.2">
      <x:c r="B83" s="10" t="s">
        <x:v>2</x:v>
      </x:c>
      <x:c r="C83" s="12" t="s">
        <x:v>27</x:v>
      </x:c>
      <x:c r="D83" s="12" t="s">
        <x:v>28</x:v>
      </x:c>
      <x:c r="E83" s="12" t="s">
        <x:v>29</x:v>
      </x:c>
      <x:c r="F83" s="12" t="s">
        <x:v>30</x:v>
      </x:c>
      <x:c r="G83" s="12" t="s">
        <x:v>31</x:v>
      </x:c>
      <x:c r="H83" s="12" t="s">
        <x:v>32</x:v>
      </x:c>
    </x:row>
    <x:row r="84" spans="2:11" x14ac:dyDescent="0.2">
      <x:c r="B84" s="5" t="s">
        <x:v>4</x:v>
      </x:c>
      <x:c r="C84" s="13">
        <x:f>LEN($C$5)</x:f>
      </x:c>
      <x:c r="D84" s="13">
        <x:f>TRIM($C$5)</x:f>
      </x:c>
      <x:c r="E84" s="13">
        <x:f>CLEAN($C$5)</x:f>
      </x:c>
      <x:c r="F84" s="13">
        <x:f>UPPER($C$5)</x:f>
      </x:c>
      <x:c r="G84" s="13">
        <x:f>LOWER($C$5)</x:f>
      </x:c>
      <x:c r="H84" s="13">
        <x:f>PROPER($C$5)</x:f>
      </x:c>
    </x:row>
    <x:row r="85" spans="2:11" x14ac:dyDescent="0.2">
      <x:c r="B85" s="5" t="s">
        <x:v>5</x:v>
      </x:c>
      <x:c r="C85" s="13">
        <x:f>LEN($C$6)</x:f>
      </x:c>
      <x:c r="D85" s="13">
        <x:f>TRIM($C$6)</x:f>
      </x:c>
      <x:c r="E85" s="13">
        <x:f>CLEAN($C$6)</x:f>
      </x:c>
      <x:c r="F85" s="13">
        <x:f>UPPER($C$6)</x:f>
      </x:c>
      <x:c r="G85" s="13">
        <x:f>LOWER($C$6)</x:f>
      </x:c>
      <x:c r="H85" s="13">
        <x:f>PROPER($C$6)</x:f>
      </x:c>
    </x:row>
    <x:row r="86" spans="2:11" x14ac:dyDescent="0.2">
      <x:c r="B86" s="5" t="s">
        <x:v>6</x:v>
      </x:c>
      <x:c r="C86" s="13">
        <x:f>LEN($C$7)</x:f>
      </x:c>
      <x:c r="D86" s="13">
        <x:f>TRIM($C$7)</x:f>
      </x:c>
      <x:c r="E86" s="13">
        <x:f>CLEAN($C$7)</x:f>
      </x:c>
      <x:c r="F86" s="13">
        <x:f>UPPER($C$7)</x:f>
      </x:c>
      <x:c r="G86" s="13">
        <x:f>LOWER($C$7)</x:f>
      </x:c>
      <x:c r="H86" s="13">
        <x:f>PROPER($C$7)</x:f>
      </x:c>
    </x:row>
    <x:row r="87" spans="2:11" x14ac:dyDescent="0.2">
      <x:c r="B87" s="5" t="s">
        <x:v>7</x:v>
      </x:c>
      <x:c r="C87" s="13">
        <x:f>LEN($C$8)</x:f>
      </x:c>
      <x:c r="D87" s="13">
        <x:f>TRIM($C$8)</x:f>
      </x:c>
      <x:c r="E87" s="13">
        <x:f>CLEAN($C$8)</x:f>
      </x:c>
      <x:c r="F87" s="13">
        <x:f>UPPER($C$8)</x:f>
      </x:c>
      <x:c r="G87" s="13">
        <x:f>LOWER($C$8)</x:f>
      </x:c>
      <x:c r="H87" s="13">
        <x:f>PROPER($C$8)</x:f>
      </x:c>
    </x:row>
    <x:row r="88" spans="2:11" x14ac:dyDescent="0.2">
      <x:c r="B88" s="5">
        <x:v>123</x:v>
      </x:c>
      <x:c r="C88" s="13">
        <x:f>LEN($C$9)</x:f>
      </x:c>
      <x:c r="D88" s="13">
        <x:f>TRIM($C$9)</x:f>
      </x:c>
      <x:c r="E88" s="13">
        <x:f>CLEAN($C$9)</x:f>
      </x:c>
      <x:c r="F88" s="13">
        <x:f>UPPER($C$9)</x:f>
      </x:c>
      <x:c r="G88" s="13">
        <x:f>LOWER($C$9)</x:f>
      </x:c>
      <x:c r="H88" s="13">
        <x:f>PROPER($C$9)</x:f>
      </x:c>
    </x:row>
    <x:row r="89" spans="2:11" x14ac:dyDescent="0.2">
      <x:c r="B89" s="5" t="s">
        <x:v>8</x:v>
      </x:c>
      <x:c r="C89" s="13">
        <x:f>LEN($C$10)</x:f>
      </x:c>
      <x:c r="D89" s="13">
        <x:f>TRIM($C$10)</x:f>
      </x:c>
      <x:c r="E89" s="13">
        <x:f>CLEAN($C$10)</x:f>
      </x:c>
      <x:c r="F89" s="13">
        <x:f>UPPER($C$10)</x:f>
      </x:c>
      <x:c r="G89" s="13">
        <x:f>LOWER($C$10)</x:f>
      </x:c>
      <x:c r="H89" s="13">
        <x:f>PROPER($C$10)</x:f>
      </x:c>
    </x:row>
    <x:row r="90" spans="2:11" x14ac:dyDescent="0.2">
      <x:c r="B90" s="5" t="s">
        <x:v>9</x:v>
      </x:c>
      <x:c r="C90" s="13">
        <x:f>LEN($C$11)</x:f>
      </x:c>
      <x:c r="D90" s="13">
        <x:f>TRIM($C$11)</x:f>
      </x:c>
      <x:c r="E90" s="13">
        <x:f>CLEAN($C$11)</x:f>
      </x:c>
      <x:c r="F90" s="13">
        <x:f>UPPER($C$11)</x:f>
      </x:c>
      <x:c r="G90" s="13">
        <x:f>LOWER($C$11)</x:f>
      </x:c>
      <x:c r="H90" s="13">
        <x:f>PROPER($C$11)</x:f>
      </x:c>
    </x:row>
    <x:row r="91" spans="2:11" x14ac:dyDescent="0.2">
      <x:c r="B91" s="5" t="s">
        <x:v>12</x:v>
      </x:c>
      <x:c r="C91" s="13">
        <x:f>LEN($C$12)</x:f>
      </x:c>
      <x:c r="D91" s="13">
        <x:f>TRIM($C$12)</x:f>
      </x:c>
      <x:c r="E91" s="13">
        <x:f>CLEAN($C$12)</x:f>
      </x:c>
      <x:c r="F91" s="13">
        <x:f>UPPER($C$12)</x:f>
      </x:c>
      <x:c r="G91" s="13">
        <x:f>LOWER($C$12)</x:f>
      </x:c>
      <x:c r="H91" s="13">
        <x:f>PROPER($C$12)</x:f>
      </x:c>
    </x:row>
    <x:row r="93" spans="2:11" x14ac:dyDescent="0.2">
      <x:c r="B93" s="14" t="s">
        <x:v>33</x:v>
      </x:c>
      <x:c r="C93" s="4"/>
      <x:c r="D93" s="4"/>
      <x:c r="E93" s="4"/>
      <x:c r="F93" s="4"/>
      <x:c r="G93" s="4"/>
      <x:c r="H93" s="4"/>
      <x:c r="I93" s="4"/>
      <x:c r="J93" s="4"/>
      <x:c r="K93" s="4"/>
    </x:row>
    <x:row r="94" spans="2:11" x14ac:dyDescent="0.2">
      <x:c r="B94" s="11" t="s">
        <x:v>34</x:v>
      </x:c>
      <x:c r="C94" s="12" t="s">
        <x:v>35</x:v>
      </x:c>
      <x:c r="D94" s="12" t="s">
        <x:v>36</x:v>
      </x:c>
      <x:c r="E94" s="12" t="s">
        <x:v>37</x:v>
      </x:c>
      <x:c r="F94" s="12" t="s">
        <x:v>38</x:v>
      </x:c>
      <x:c r="G94" s="12" t="s">
        <x:v>39</x:v>
      </x:c>
      <x:c r="H94" s="12" t="s">
        <x:v>40</x:v>
      </x:c>
      <x:c r="I94" s="12" t="s">
        <x:v>41</x:v>
      </x:c>
    </x:row>
    <x:row r="95" spans="2:11" x14ac:dyDescent="0.2">
      <x:c r="B95" s="5" t="s">
        <x:v>4</x:v>
      </x:c>
      <x:c r="C95" s="13">
        <x:f>FIND("e",$C$5)</x:f>
      </x:c>
      <x:c r="D95" s="13">
        <x:f>FIND("lo",$C$5)</x:f>
      </x:c>
      <x:c r="E95" s="13">
        <x:f>FIND("Hello",$C$5)</x:f>
      </x:c>
      <x:c r="F95" s="13">
        <x:f>FIND("123",$C$5)</x:f>
      </x:c>
      <x:c r="G95" s="13">
        <x:f>FIND(" ",$C$5)</x:f>
      </x:c>
      <x:c r="H95" s="13">
        <x:f>FIND("@",$C$5)</x:f>
      </x:c>
      <x:c r="I95" s="13">
        <x:f>FIND("o w",$C$5)</x:f>
      </x:c>
    </x:row>
    <x:row r="96" spans="2:11" x14ac:dyDescent="0.2">
      <x:c r="B96" s="5" t="s">
        <x:v>5</x:v>
      </x:c>
      <x:c r="C96" s="13">
        <x:f>FIND("e",$C$6)</x:f>
      </x:c>
      <x:c r="D96" s="13">
        <x:f>FIND("lo",$C$6)</x:f>
      </x:c>
      <x:c r="E96" s="13">
        <x:f>FIND("Hello",$C$6)</x:f>
      </x:c>
      <x:c r="F96" s="13">
        <x:f>FIND("123",$C$6)</x:f>
      </x:c>
      <x:c r="G96" s="13">
        <x:f>FIND(" ",$C$6)</x:f>
      </x:c>
      <x:c r="H96" s="13">
        <x:f>FIND("@",$C$6)</x:f>
      </x:c>
      <x:c r="I96" s="13">
        <x:f>FIND("o w",$C$6)</x:f>
      </x:c>
    </x:row>
    <x:row r="97" spans="2:11" x14ac:dyDescent="0.2">
      <x:c r="B97" s="5" t="s">
        <x:v>6</x:v>
      </x:c>
      <x:c r="C97" s="13">
        <x:f>FIND("e",$C$7)</x:f>
      </x:c>
      <x:c r="D97" s="13">
        <x:f>FIND("lo",$C$7)</x:f>
      </x:c>
      <x:c r="E97" s="13">
        <x:f>FIND("Hello",$C$7)</x:f>
      </x:c>
      <x:c r="F97" s="13">
        <x:f>FIND("123",$C$7)</x:f>
      </x:c>
      <x:c r="G97" s="13">
        <x:f>FIND(" ",$C$7)</x:f>
      </x:c>
      <x:c r="H97" s="13">
        <x:f>FIND("@",$C$7)</x:f>
      </x:c>
      <x:c r="I97" s="13">
        <x:f>FIND("o w",$C$7)</x:f>
      </x:c>
    </x:row>
    <x:row r="98" spans="2:11" x14ac:dyDescent="0.2">
      <x:c r="B98" s="5" t="s">
        <x:v>7</x:v>
      </x:c>
      <x:c r="C98" s="13">
        <x:f>FIND("e",$C$8)</x:f>
      </x:c>
      <x:c r="D98" s="13">
        <x:f>FIND("lo",$C$8)</x:f>
      </x:c>
      <x:c r="E98" s="13">
        <x:f>FIND("Hello",$C$8)</x:f>
      </x:c>
      <x:c r="F98" s="13">
        <x:f>FIND("123",$C$8)</x:f>
      </x:c>
      <x:c r="G98" s="13">
        <x:f>FIND(" ",$C$8)</x:f>
      </x:c>
      <x:c r="H98" s="13">
        <x:f>FIND("@",$C$8)</x:f>
      </x:c>
      <x:c r="I98" s="13">
        <x:f>FIND("o w",$C$8)</x:f>
      </x:c>
    </x:row>
    <x:row r="99" spans="2:11" x14ac:dyDescent="0.2">
      <x:c r="B99" s="5">
        <x:v>123</x:v>
      </x:c>
      <x:c r="C99" s="13">
        <x:f>FIND("e",$C$9)</x:f>
      </x:c>
      <x:c r="D99" s="13">
        <x:f>FIND("lo",$C$9)</x:f>
      </x:c>
      <x:c r="E99" s="13">
        <x:f>FIND("Hello",$C$9)</x:f>
      </x:c>
      <x:c r="F99" s="13">
        <x:f>FIND("123",$C$9)</x:f>
      </x:c>
      <x:c r="G99" s="13">
        <x:f>FIND(" ",$C$9)</x:f>
      </x:c>
      <x:c r="H99" s="13">
        <x:f>FIND("@",$C$9)</x:f>
      </x:c>
      <x:c r="I99" s="13">
        <x:f>FIND("o w",$C$9)</x:f>
      </x:c>
    </x:row>
    <x:row r="100" spans="2:11" x14ac:dyDescent="0.2">
      <x:c r="B100" s="5" t="s">
        <x:v>8</x:v>
      </x:c>
      <x:c r="C100" s="13">
        <x:f>FIND("e",$C$10)</x:f>
      </x:c>
      <x:c r="D100" s="13">
        <x:f>FIND("lo",$C$10)</x:f>
      </x:c>
      <x:c r="E100" s="13">
        <x:f>FIND("Hello",$C$10)</x:f>
      </x:c>
      <x:c r="F100" s="13">
        <x:f>FIND("123",$C$10)</x:f>
      </x:c>
      <x:c r="G100" s="13">
        <x:f>FIND(" ",$C$10)</x:f>
      </x:c>
      <x:c r="H100" s="13">
        <x:f>FIND("@",$C$10)</x:f>
      </x:c>
      <x:c r="I100" s="13">
        <x:f>FIND("o w",$C$10)</x:f>
      </x:c>
    </x:row>
    <x:row r="101" spans="2:11" x14ac:dyDescent="0.2">
      <x:c r="B101" s="5" t="s">
        <x:v>9</x:v>
      </x:c>
      <x:c r="C101" s="13">
        <x:f>FIND("e",$C$11)</x:f>
      </x:c>
      <x:c r="D101" s="13">
        <x:f>FIND("lo",$C$11)</x:f>
      </x:c>
      <x:c r="E101" s="13">
        <x:f>FIND("Hello",$C$11)</x:f>
      </x:c>
      <x:c r="F101" s="13">
        <x:f>FIND("123",$C$11)</x:f>
      </x:c>
      <x:c r="G101" s="13">
        <x:f>FIND(" ",$C$11)</x:f>
      </x:c>
      <x:c r="H101" s="13">
        <x:f>FIND("@",$C$11)</x:f>
      </x:c>
      <x:c r="I101" s="13">
        <x:f>FIND("o w",$C$11)</x:f>
      </x:c>
    </x:row>
    <x:row r="102" spans="2:11" x14ac:dyDescent="0.2">
      <x:c r="B102" s="5" t="s">
        <x:v>12</x:v>
      </x:c>
      <x:c r="C102" s="13">
        <x:f>FIND("e",$C$12)</x:f>
      </x:c>
      <x:c r="D102" s="13">
        <x:f>FIND("lo",$C$12)</x:f>
      </x:c>
      <x:c r="E102" s="13">
        <x:f>FIND("Hello",$C$12)</x:f>
      </x:c>
      <x:c r="F102" s="13">
        <x:f>FIND("123",$C$12)</x:f>
      </x:c>
      <x:c r="G102" s="13">
        <x:f>FIND(" ",$C$12)</x:f>
      </x:c>
      <x:c r="H102" s="13">
        <x:f>FIND("@",$C$12)</x:f>
      </x:c>
      <x:c r="I102" s="13">
        <x:f>FIND("o w",$C$12)</x:f>
      </x:c>
    </x:row>
    <x:row r="104" spans="2:11" x14ac:dyDescent="0.2">
      <x:c r="B104" s="14" t="s">
        <x:v>42</x:v>
      </x:c>
      <x:c r="C104" s="4"/>
      <x:c r="D104" s="4"/>
      <x:c r="E104" s="4"/>
      <x:c r="F104" s="4"/>
      <x:c r="G104" s="4"/>
      <x:c r="H104" s="4"/>
      <x:c r="I104" s="4"/>
      <x:c r="J104" s="4"/>
      <x:c r="K104" s="4"/>
    </x:row>
    <x:row r="105" spans="2:11" x14ac:dyDescent="0.2">
      <x:c r="B105" s="11" t="s">
        <x:v>34</x:v>
      </x:c>
      <x:c r="C105" s="12" t="s">
        <x:v>35</x:v>
      </x:c>
      <x:c r="D105" s="12" t="s">
        <x:v>36</x:v>
      </x:c>
      <x:c r="E105" s="12" t="s">
        <x:v>37</x:v>
      </x:c>
      <x:c r="F105" s="12" t="s">
        <x:v>38</x:v>
      </x:c>
      <x:c r="G105" s="12" t="s">
        <x:v>39</x:v>
      </x:c>
      <x:c r="H105" s="12" t="s">
        <x:v>40</x:v>
      </x:c>
      <x:c r="I105" s="12" t="s">
        <x:v>41</x:v>
      </x:c>
    </x:row>
    <x:row r="106" spans="2:11" x14ac:dyDescent="0.2">
      <x:c r="B106" s="5" t="s">
        <x:v>4</x:v>
      </x:c>
      <x:c r="C106" s="13">
        <x:f>SEARCH("e",$C$5)</x:f>
      </x:c>
      <x:c r="D106" s="13">
        <x:f>SEARCH("lo",$C$5)</x:f>
      </x:c>
      <x:c r="E106" s="13">
        <x:f>SEARCH("Hello",$C$5)</x:f>
      </x:c>
      <x:c r="F106" s="13">
        <x:f>SEARCH("123",$C$5)</x:f>
      </x:c>
      <x:c r="G106" s="13">
        <x:f>SEARCH(" ",$C$5)</x:f>
      </x:c>
      <x:c r="H106" s="13">
        <x:f>SEARCH("@",$C$5)</x:f>
      </x:c>
      <x:c r="I106" s="13">
        <x:f>SEARCH("o w",$C$5)</x:f>
      </x:c>
    </x:row>
    <x:row r="107" spans="2:11" x14ac:dyDescent="0.2">
      <x:c r="B107" s="5" t="s">
        <x:v>5</x:v>
      </x:c>
      <x:c r="C107" s="13">
        <x:f>SEARCH("e",$C$6)</x:f>
      </x:c>
      <x:c r="D107" s="13">
        <x:f>SEARCH("lo",$C$6)</x:f>
      </x:c>
      <x:c r="E107" s="13">
        <x:f>SEARCH("Hello",$C$6)</x:f>
      </x:c>
      <x:c r="F107" s="13">
        <x:f>SEARCH("123",$C$6)</x:f>
      </x:c>
      <x:c r="G107" s="13">
        <x:f>SEARCH(" ",$C$6)</x:f>
      </x:c>
      <x:c r="H107" s="13">
        <x:f>SEARCH("@",$C$6)</x:f>
      </x:c>
      <x:c r="I107" s="13">
        <x:f>SEARCH("o w",$C$6)</x:f>
      </x:c>
    </x:row>
    <x:row r="108" spans="2:11" x14ac:dyDescent="0.2">
      <x:c r="B108" s="5" t="s">
        <x:v>6</x:v>
      </x:c>
      <x:c r="C108" s="13">
        <x:f>SEARCH("e",$C$7)</x:f>
      </x:c>
      <x:c r="D108" s="13">
        <x:f>SEARCH("lo",$C$7)</x:f>
      </x:c>
      <x:c r="E108" s="13">
        <x:f>SEARCH("Hello",$C$7)</x:f>
      </x:c>
      <x:c r="F108" s="13">
        <x:f>SEARCH("123",$C$7)</x:f>
      </x:c>
      <x:c r="G108" s="13">
        <x:f>SEARCH(" ",$C$7)</x:f>
      </x:c>
      <x:c r="H108" s="13">
        <x:f>SEARCH("@",$C$7)</x:f>
      </x:c>
      <x:c r="I108" s="13">
        <x:f>SEARCH("o w",$C$7)</x:f>
      </x:c>
    </x:row>
    <x:row r="109" spans="2:11" x14ac:dyDescent="0.2">
      <x:c r="B109" s="5" t="s">
        <x:v>7</x:v>
      </x:c>
      <x:c r="C109" s="13">
        <x:f>SEARCH("e",$C$8)</x:f>
      </x:c>
      <x:c r="D109" s="13">
        <x:f>SEARCH("lo",$C$8)</x:f>
      </x:c>
      <x:c r="E109" s="13">
        <x:f>SEARCH("Hello",$C$8)</x:f>
      </x:c>
      <x:c r="F109" s="13">
        <x:f>SEARCH("123",$C$8)</x:f>
      </x:c>
      <x:c r="G109" s="13">
        <x:f>SEARCH(" ",$C$8)</x:f>
      </x:c>
      <x:c r="H109" s="13">
        <x:f>SEARCH("@",$C$8)</x:f>
      </x:c>
      <x:c r="I109" s="13">
        <x:f>SEARCH("o w",$C$8)</x:f>
      </x:c>
    </x:row>
    <x:row r="110" spans="2:11" x14ac:dyDescent="0.2">
      <x:c r="B110" s="5">
        <x:v>123</x:v>
      </x:c>
      <x:c r="C110" s="13">
        <x:f>SEARCH("e",$C$9)</x:f>
      </x:c>
      <x:c r="D110" s="13">
        <x:f>SEARCH("lo",$C$9)</x:f>
      </x:c>
      <x:c r="E110" s="13">
        <x:f>SEARCH("Hello",$C$9)</x:f>
      </x:c>
      <x:c r="F110" s="13">
        <x:f>SEARCH("123",$C$9)</x:f>
      </x:c>
      <x:c r="G110" s="13">
        <x:f>SEARCH(" ",$C$9)</x:f>
      </x:c>
      <x:c r="H110" s="13">
        <x:f>SEARCH("@",$C$9)</x:f>
      </x:c>
      <x:c r="I110" s="13">
        <x:f>SEARCH("o w",$C$9)</x:f>
      </x:c>
    </x:row>
    <x:row r="111" spans="2:11" x14ac:dyDescent="0.2">
      <x:c r="B111" s="5" t="s">
        <x:v>8</x:v>
      </x:c>
      <x:c r="C111" s="13">
        <x:f>SEARCH("e",$C$10)</x:f>
      </x:c>
      <x:c r="D111" s="13">
        <x:f>SEARCH("lo",$C$10)</x:f>
      </x:c>
      <x:c r="E111" s="13">
        <x:f>SEARCH("Hello",$C$10)</x:f>
      </x:c>
      <x:c r="F111" s="13">
        <x:f>SEARCH("123",$C$10)</x:f>
      </x:c>
      <x:c r="G111" s="13">
        <x:f>SEARCH(" ",$C$10)</x:f>
      </x:c>
      <x:c r="H111" s="13">
        <x:f>SEARCH("@",$C$10)</x:f>
      </x:c>
      <x:c r="I111" s="13">
        <x:f>SEARCH("o w",$C$10)</x:f>
      </x:c>
    </x:row>
    <x:row r="112" spans="2:11" x14ac:dyDescent="0.2">
      <x:c r="B112" s="5" t="s">
        <x:v>9</x:v>
      </x:c>
      <x:c r="C112" s="13">
        <x:f>SEARCH("e",$C$11)</x:f>
      </x:c>
      <x:c r="D112" s="13">
        <x:f>SEARCH("lo",$C$11)</x:f>
      </x:c>
      <x:c r="E112" s="13">
        <x:f>SEARCH("Hello",$C$11)</x:f>
      </x:c>
      <x:c r="F112" s="13">
        <x:f>SEARCH("123",$C$11)</x:f>
      </x:c>
      <x:c r="G112" s="13">
        <x:f>SEARCH(" ",$C$11)</x:f>
      </x:c>
      <x:c r="H112" s="13">
        <x:f>SEARCH("@",$C$11)</x:f>
      </x:c>
      <x:c r="I112" s="13">
        <x:f>SEARCH("o w",$C$11)</x:f>
      </x:c>
    </x:row>
    <x:row r="113" spans="2:11" x14ac:dyDescent="0.2">
      <x:c r="B113" s="5" t="s">
        <x:v>12</x:v>
      </x:c>
      <x:c r="C113" s="13">
        <x:f>SEARCH("e",$C$12)</x:f>
      </x:c>
      <x:c r="D113" s="13">
        <x:f>SEARCH("lo",$C$12)</x:f>
      </x:c>
      <x:c r="E113" s="13">
        <x:f>SEARCH("Hello",$C$12)</x:f>
      </x:c>
      <x:c r="F113" s="13">
        <x:f>SEARCH("123",$C$12)</x:f>
      </x:c>
      <x:c r="G113" s="13">
        <x:f>SEARCH(" ",$C$12)</x:f>
      </x:c>
      <x:c r="H113" s="13">
        <x:f>SEARCH("@",$C$12)</x:f>
      </x:c>
      <x:c r="I113" s="13">
        <x:f>SEARCH("o w",$C$12)</x:f>
      </x:c>
    </x:row>
    <x:row r="115" spans="2:11" x14ac:dyDescent="0.2">
      <x:c r="B115" s="14" t="s">
        <x:v>43</x:v>
      </x:c>
      <x:c r="C115" s="4"/>
      <x:c r="D115" s="4"/>
      <x:c r="E115" s="4"/>
      <x:c r="F115" s="4"/>
      <x:c r="G115" s="4"/>
      <x:c r="H115" s="4"/>
      <x:c r="I115" s="4"/>
      <x:c r="J115" s="4"/>
      <x:c r="K115" s="4"/>
    </x:row>
    <x:row r="116" spans="2:11" x14ac:dyDescent="0.2">
      <x:c r="B116" s="11" t="s">
        <x:v>44</x:v>
      </x:c>
      <x:c r="C116" s="12" t="s">
        <x:v>45</x:v>
      </x:c>
      <x:c r="D116" s="12" t="s">
        <x:v>46</x:v>
      </x:c>
      <x:c r="E116" s="12" t="s">
        <x:v>47</x:v>
      </x:c>
      <x:c r="F116" s="12" t="s">
        <x:v>48</x:v>
      </x:c>
      <x:c r="G116" s="12" t="s">
        <x:v>49</x:v>
      </x:c>
      <x:c r="H116" s="12" t="s">
        <x:v>50</x:v>
      </x:c>
    </x:row>
    <x:row r="117" spans="2:11" x14ac:dyDescent="0.2">
      <x:c r="B117" s="5" t="s">
        <x:v>4</x:v>
      </x:c>
      <x:c r="C117" s="13">
        <x:f>SUBSTITUTE($C$5,"o","0")</x:f>
      </x:c>
      <x:c r="D117" s="13">
        <x:f>SUBSTITUTE($C$5,"l","L")</x:f>
      </x:c>
      <x:c r="E117" s="13">
        <x:f>SUBSTITUTE($C$5," ","-")</x:f>
      </x:c>
      <x:c r="F117" s="13">
        <x:f>SUBSTITUTE($C$5,"Hello","Hi")</x:f>
      </x:c>
      <x:c r="G117" s="13">
        <x:f>SUBSTITUTE($C$5,"l","L",1)</x:f>
      </x:c>
      <x:c r="H117" s="13">
        <x:f>SUBSTITUTE($C$5,"1","ONE")</x:f>
      </x:c>
    </x:row>
    <x:row r="118" spans="2:11" x14ac:dyDescent="0.2">
      <x:c r="B118" s="5" t="s">
        <x:v>5</x:v>
      </x:c>
      <x:c r="C118" s="13">
        <x:f>SUBSTITUTE($C$6,"o","0")</x:f>
      </x:c>
      <x:c r="D118" s="13">
        <x:f>SUBSTITUTE($C$6,"l","L")</x:f>
      </x:c>
      <x:c r="E118" s="13">
        <x:f>SUBSTITUTE($C$6," ","-")</x:f>
      </x:c>
      <x:c r="F118" s="13">
        <x:f>SUBSTITUTE($C$6,"Hello","Hi")</x:f>
      </x:c>
      <x:c r="G118" s="13">
        <x:f>SUBSTITUTE($C$6,"l","L",1)</x:f>
      </x:c>
      <x:c r="H118" s="13">
        <x:f>SUBSTITUTE($C$6,"1","ONE")</x:f>
      </x:c>
    </x:row>
    <x:row r="119" spans="2:11" x14ac:dyDescent="0.2">
      <x:c r="B119" s="5" t="s">
        <x:v>6</x:v>
      </x:c>
      <x:c r="C119" s="13">
        <x:f>SUBSTITUTE($C$7,"o","0")</x:f>
      </x:c>
      <x:c r="D119" s="13">
        <x:f>SUBSTITUTE($C$7,"l","L")</x:f>
      </x:c>
      <x:c r="E119" s="13">
        <x:f>SUBSTITUTE($C$7," ","-")</x:f>
      </x:c>
      <x:c r="F119" s="13">
        <x:f>SUBSTITUTE($C$7,"Hello","Hi")</x:f>
      </x:c>
      <x:c r="G119" s="13">
        <x:f>SUBSTITUTE($C$7,"l","L",1)</x:f>
      </x:c>
      <x:c r="H119" s="13">
        <x:f>SUBSTITUTE($C$7,"1","ONE")</x:f>
      </x:c>
    </x:row>
    <x:row r="120" spans="2:11" x14ac:dyDescent="0.2">
      <x:c r="B120" s="5" t="s">
        <x:v>7</x:v>
      </x:c>
      <x:c r="C120" s="13">
        <x:f>SUBSTITUTE($C$8,"o","0")</x:f>
      </x:c>
      <x:c r="D120" s="13">
        <x:f>SUBSTITUTE($C$8,"l","L")</x:f>
      </x:c>
      <x:c r="E120" s="13">
        <x:f>SUBSTITUTE($C$8," ","-")</x:f>
      </x:c>
      <x:c r="F120" s="13">
        <x:f>SUBSTITUTE($C$8,"Hello","Hi")</x:f>
      </x:c>
      <x:c r="G120" s="13">
        <x:f>SUBSTITUTE($C$8,"l","L",1)</x:f>
      </x:c>
      <x:c r="H120" s="13">
        <x:f>SUBSTITUTE($C$8,"1","ONE")</x:f>
      </x:c>
    </x:row>
    <x:row r="121" spans="2:11" x14ac:dyDescent="0.2">
      <x:c r="B121" s="5">
        <x:v>123</x:v>
      </x:c>
      <x:c r="C121" s="13">
        <x:f>SUBSTITUTE($C$9,"o","0")</x:f>
      </x:c>
      <x:c r="D121" s="13">
        <x:f>SUBSTITUTE($C$9,"l","L")</x:f>
      </x:c>
      <x:c r="E121" s="13">
        <x:f>SUBSTITUTE($C$9," ","-")</x:f>
      </x:c>
      <x:c r="F121" s="13">
        <x:f>SUBSTITUTE($C$9,"Hello","Hi")</x:f>
      </x:c>
      <x:c r="G121" s="13">
        <x:f>SUBSTITUTE($C$9,"l","L",1)</x:f>
      </x:c>
      <x:c r="H121" s="13">
        <x:f>SUBSTITUTE($C$9,"1","ONE")</x:f>
      </x:c>
    </x:row>
    <x:row r="122" spans="2:11" x14ac:dyDescent="0.2">
      <x:c r="B122" s="5" t="s">
        <x:v>8</x:v>
      </x:c>
      <x:c r="C122" s="13">
        <x:f>SUBSTITUTE($C$10,"o","0")</x:f>
      </x:c>
      <x:c r="D122" s="13">
        <x:f>SUBSTITUTE($C$10,"l","L")</x:f>
      </x:c>
      <x:c r="E122" s="13">
        <x:f>SUBSTITUTE($C$10," ","-")</x:f>
      </x:c>
      <x:c r="F122" s="13">
        <x:f>SUBSTITUTE($C$10,"Hello","Hi")</x:f>
      </x:c>
      <x:c r="G122" s="13">
        <x:f>SUBSTITUTE($C$10,"l","L",1)</x:f>
      </x:c>
      <x:c r="H122" s="13">
        <x:f>SUBSTITUTE($C$10,"1","ONE")</x:f>
      </x:c>
    </x:row>
    <x:row r="123" spans="2:11" x14ac:dyDescent="0.2">
      <x:c r="B123" s="5" t="s">
        <x:v>9</x:v>
      </x:c>
      <x:c r="C123" s="13">
        <x:f>SUBSTITUTE($C$11,"o","0")</x:f>
      </x:c>
      <x:c r="D123" s="13">
        <x:f>SUBSTITUTE($C$11,"l","L")</x:f>
      </x:c>
      <x:c r="E123" s="13">
        <x:f>SUBSTITUTE($C$11," ","-")</x:f>
      </x:c>
      <x:c r="F123" s="13">
        <x:f>SUBSTITUTE($C$11,"Hello","Hi")</x:f>
      </x:c>
      <x:c r="G123" s="13">
        <x:f>SUBSTITUTE($C$11,"l","L",1)</x:f>
      </x:c>
      <x:c r="H123" s="13">
        <x:f>SUBSTITUTE($C$11,"1","ONE")</x:f>
      </x:c>
    </x:row>
    <x:row r="124" spans="2:11" x14ac:dyDescent="0.2">
      <x:c r="B124" s="5" t="s">
        <x:v>12</x:v>
      </x:c>
      <x:c r="C124" s="13">
        <x:f>SUBSTITUTE($C$12,"o","0")</x:f>
      </x:c>
      <x:c r="D124" s="13">
        <x:f>SUBSTITUTE($C$12,"l","L")</x:f>
      </x:c>
      <x:c r="E124" s="13">
        <x:f>SUBSTITUTE($C$12," ","-")</x:f>
      </x:c>
      <x:c r="F124" s="13">
        <x:f>SUBSTITUTE($C$12,"Hello","Hi")</x:f>
      </x:c>
      <x:c r="G124" s="13">
        <x:f>SUBSTITUTE($C$12,"l","L",1)</x:f>
      </x:c>
      <x:c r="H124" s="13">
        <x:f>SUBSTITUTE($C$12,"1","ONE")</x:f>
      </x:c>
    </x:row>
    <x:row r="126" spans="2:11" x14ac:dyDescent="0.2">
      <x:c r="B126" s="14" t="s">
        <x:v>51</x:v>
      </x:c>
      <x:c r="C126" s="4"/>
      <x:c r="D126" s="4"/>
      <x:c r="E126" s="4"/>
      <x:c r="F126" s="4"/>
      <x:c r="G126" s="4"/>
      <x:c r="H126" s="4"/>
      <x:c r="I126" s="4"/>
      <x:c r="J126" s="4"/>
      <x:c r="K126" s="4"/>
    </x:row>
    <x:row r="127" spans="2:11" x14ac:dyDescent="0.2">
      <x:c r="B127" s="11" t="s">
        <x:v>52</x:v>
      </x:c>
      <x:c r="C127" s="12" t="s">
        <x:v>53</x:v>
      </x:c>
      <x:c r="D127" s="12" t="s">
        <x:v>54</x:v>
      </x:c>
      <x:c r="E127" s="12" t="s">
        <x:v>55</x:v>
      </x:c>
      <x:c r="F127" s="12" t="s">
        <x:v>56</x:v>
      </x:c>
      <x:c r="G127" s="12" t="s">
        <x:v>57</x:v>
      </x:c>
    </x:row>
    <x:row r="128" spans="2:11" x14ac:dyDescent="0.2">
      <x:c r="B128" s="5" t="s">
        <x:v>4</x:v>
      </x:c>
      <x:c r="C128" s="13">
        <x:f>REPLACE($C$5,1,1,"X")</x:f>
      </x:c>
      <x:c r="D128" s="13">
        <x:f>REPLACE($C$5,1,3,"***")</x:f>
      </x:c>
      <x:c r="E128" s="13">
        <x:f>REPLACE($C$5,3,2,"--")</x:f>
      </x:c>
      <x:c r="F128" s="13">
        <x:f>REPLACE($C$5,1,0,"PREFIX")</x:f>
      </x:c>
      <x:c r="G128" s="13">
        <x:f>REPLACE($C$5,5,100,"...")</x:f>
      </x:c>
    </x:row>
    <x:row r="129" spans="2:11" x14ac:dyDescent="0.2">
      <x:c r="B129" s="5" t="s">
        <x:v>5</x:v>
      </x:c>
      <x:c r="C129" s="13">
        <x:f>REPLACE($C$6,1,1,"X")</x:f>
      </x:c>
      <x:c r="D129" s="13">
        <x:f>REPLACE($C$6,1,3,"***")</x:f>
      </x:c>
      <x:c r="E129" s="13">
        <x:f>REPLACE($C$6,3,2,"--")</x:f>
      </x:c>
      <x:c r="F129" s="13">
        <x:f>REPLACE($C$6,1,0,"PREFIX")</x:f>
      </x:c>
      <x:c r="G129" s="13">
        <x:f>REPLACE($C$6,5,100,"...")</x:f>
      </x:c>
    </x:row>
    <x:row r="130" spans="2:11" x14ac:dyDescent="0.2">
      <x:c r="B130" s="5" t="s">
        <x:v>6</x:v>
      </x:c>
      <x:c r="C130" s="13">
        <x:f>REPLACE($C$7,1,1,"X")</x:f>
      </x:c>
      <x:c r="D130" s="13">
        <x:f>REPLACE($C$7,1,3,"***")</x:f>
      </x:c>
      <x:c r="E130" s="13">
        <x:f>REPLACE($C$7,3,2,"--")</x:f>
      </x:c>
      <x:c r="F130" s="13">
        <x:f>REPLACE($C$7,1,0,"PREFIX")</x:f>
      </x:c>
      <x:c r="G130" s="13">
        <x:f>REPLACE($C$7,5,100,"...")</x:f>
      </x:c>
    </x:row>
    <x:row r="131" spans="2:11" x14ac:dyDescent="0.2">
      <x:c r="B131" s="5" t="s">
        <x:v>7</x:v>
      </x:c>
      <x:c r="C131" s="13">
        <x:f>REPLACE($C$8,1,1,"X")</x:f>
      </x:c>
      <x:c r="D131" s="13">
        <x:f>REPLACE($C$8,1,3,"***")</x:f>
      </x:c>
      <x:c r="E131" s="13">
        <x:f>REPLACE($C$8,3,2,"--")</x:f>
      </x:c>
      <x:c r="F131" s="13">
        <x:f>REPLACE($C$8,1,0,"PREFIX")</x:f>
      </x:c>
      <x:c r="G131" s="13">
        <x:f>REPLACE($C$8,5,100,"...")</x:f>
      </x:c>
    </x:row>
    <x:row r="132" spans="2:11" x14ac:dyDescent="0.2">
      <x:c r="B132" s="5">
        <x:v>123</x:v>
      </x:c>
      <x:c r="C132" s="13">
        <x:f>REPLACE($C$9,1,1,"X")</x:f>
      </x:c>
      <x:c r="D132" s="13">
        <x:f>REPLACE($C$9,1,3,"***")</x:f>
      </x:c>
      <x:c r="E132" s="13">
        <x:f>REPLACE($C$9,3,2,"--")</x:f>
      </x:c>
      <x:c r="F132" s="13">
        <x:f>REPLACE($C$9,1,0,"PREFIX")</x:f>
      </x:c>
      <x:c r="G132" s="13">
        <x:f>REPLACE($C$9,5,100,"...")</x:f>
      </x:c>
    </x:row>
    <x:row r="133" spans="2:11" x14ac:dyDescent="0.2">
      <x:c r="B133" s="5" t="s">
        <x:v>8</x:v>
      </x:c>
      <x:c r="C133" s="13">
        <x:f>REPLACE($C$10,1,1,"X")</x:f>
      </x:c>
      <x:c r="D133" s="13">
        <x:f>REPLACE($C$10,1,3,"***")</x:f>
      </x:c>
      <x:c r="E133" s="13">
        <x:f>REPLACE($C$10,3,2,"--")</x:f>
      </x:c>
      <x:c r="F133" s="13">
        <x:f>REPLACE($C$10,1,0,"PREFIX")</x:f>
      </x:c>
      <x:c r="G133" s="13">
        <x:f>REPLACE($C$10,5,100,"...")</x:f>
      </x:c>
    </x:row>
    <x:row r="134" spans="2:11" x14ac:dyDescent="0.2">
      <x:c r="B134" s="5" t="s">
        <x:v>9</x:v>
      </x:c>
      <x:c r="C134" s="13">
        <x:f>REPLACE($C$11,1,1,"X")</x:f>
      </x:c>
      <x:c r="D134" s="13">
        <x:f>REPLACE($C$11,1,3,"***")</x:f>
      </x:c>
      <x:c r="E134" s="13">
        <x:f>REPLACE($C$11,3,2,"--")</x:f>
      </x:c>
      <x:c r="F134" s="13">
        <x:f>REPLACE($C$11,1,0,"PREFIX")</x:f>
      </x:c>
      <x:c r="G134" s="13">
        <x:f>REPLACE($C$11,5,100,"...")</x:f>
      </x:c>
    </x:row>
    <x:row r="135" spans="2:11" x14ac:dyDescent="0.2">
      <x:c r="B135" s="5" t="s">
        <x:v>12</x:v>
      </x:c>
      <x:c r="C135" s="13">
        <x:f>REPLACE($C$12,1,1,"X")</x:f>
      </x:c>
      <x:c r="D135" s="13">
        <x:f>REPLACE($C$12,1,3,"***")</x:f>
      </x:c>
      <x:c r="E135" s="13">
        <x:f>REPLACE($C$12,3,2,"--")</x:f>
      </x:c>
      <x:c r="F135" s="13">
        <x:f>REPLACE($C$12,1,0,"PREFIX")</x:f>
      </x:c>
      <x:c r="G135" s="13">
        <x:f>REPLACE($C$12,5,100,"...")</x:f>
      </x:c>
    </x:row>
    <x:row r="137" spans="2:11" x14ac:dyDescent="0.2">
      <x:c r="B137" s="14" t="s">
        <x:v>58</x:v>
      </x:c>
      <x:c r="C137" s="4"/>
      <x:c r="D137" s="4"/>
      <x:c r="E137" s="4"/>
      <x:c r="F137" s="4"/>
      <x:c r="G137" s="4"/>
      <x:c r="H137" s="4"/>
      <x:c r="I137" s="4"/>
      <x:c r="J137" s="4"/>
      <x:c r="K137" s="4"/>
    </x:row>
    <x:row r="138" spans="2:11" x14ac:dyDescent="0.2">
      <x:c r="B138" s="11" t="s">
        <x:v>59</x:v>
      </x:c>
      <x:c r="C138" s="12" t="s">
        <x:v>60</x:v>
      </x:c>
      <x:c r="D138" s="12" t="s">
        <x:v>61</x:v>
      </x:c>
      <x:c r="E138" s="17">
        <x:v>0</x:v>
      </x:c>
      <x:c r="F138" s="12" t="s">
        <x:v>62</x:v>
      </x:c>
      <x:c r="G138" s="18">
        <x:v>0</x:v>
      </x:c>
      <x:c r="H138" s="12" t="s">
        <x:v>63</x:v>
      </x:c>
      <x:c r="I138" s="12" t="s">
        <x:v>64</x:v>
      </x:c>
    </x:row>
    <x:row r="139" spans="2:11" x14ac:dyDescent="0.2">
      <x:c r="B139" s="5">
        <x:v>0</x:v>
      </x:c>
      <x:c r="C139" s="13">
        <x:f>TEXT(0,"#,##0")</x:f>
      </x:c>
      <x:c r="D139" s="13">
        <x:f>TEXT(0,"#,##0.00")</x:f>
      </x:c>
      <x:c r="E139" s="13">
        <x:f>TEXT(0,"0%")</x:f>
      </x:c>
      <x:c r="F139" s="13">
        <x:f>TEXT(0,"$#,##0")</x:f>
      </x:c>
      <x:c r="G139" s="13">
        <x:f>TEXT(0,"0.00E+00")</x:f>
      </x:c>
      <x:c r="H139" s="13">
        <x:f>TEXT(0,"mm/dd/yyyy")</x:f>
      </x:c>
      <x:c r="I139" s="13">
        <x:f>TEXT(0,"dddd")</x:f>
      </x:c>
    </x:row>
    <x:row r="140" spans="2:11" x14ac:dyDescent="0.2">
      <x:c r="B140" s="5">
        <x:v>1234.5</x:v>
      </x:c>
      <x:c r="C140" s="13">
        <x:f>TEXT(1234.5,"#,##0")</x:f>
      </x:c>
      <x:c r="D140" s="13">
        <x:f>TEXT(1234.5,"#,##0.00")</x:f>
      </x:c>
      <x:c r="E140" s="13">
        <x:f>TEXT(1234.5,"0%")</x:f>
      </x:c>
      <x:c r="F140" s="13">
        <x:f>TEXT(1234.5,"$#,##0")</x:f>
      </x:c>
      <x:c r="G140" s="13">
        <x:f>TEXT(1234.5,"0.00E+00")</x:f>
      </x:c>
      <x:c r="H140" s="13">
        <x:f>TEXT(1234.5,"mm/dd/yyyy")</x:f>
      </x:c>
      <x:c r="I140" s="13">
        <x:f>TEXT(1234.5,"dddd")</x:f>
      </x:c>
    </x:row>
    <x:row r="141" spans="2:11" x14ac:dyDescent="0.2">
      <x:c r="B141" s="5">
        <x:v>-42.5</x:v>
      </x:c>
      <x:c r="C141" s="13">
        <x:f>TEXT(-42.5,"#,##0")</x:f>
      </x:c>
      <x:c r="D141" s="13">
        <x:f>TEXT(-42.5,"#,##0.00")</x:f>
      </x:c>
      <x:c r="E141" s="13">
        <x:f>TEXT(-42.5,"0%")</x:f>
      </x:c>
      <x:c r="F141" s="13">
        <x:f>TEXT(-42.5,"$#,##0")</x:f>
      </x:c>
      <x:c r="G141" s="13">
        <x:f>TEXT(-42.5,"0.00E+00")</x:f>
      </x:c>
      <x:c r="H141" s="13">
        <x:f>TEXT(-42.5,"mm/dd/yyyy")</x:f>
      </x:c>
      <x:c r="I141" s="13">
        <x:f>TEXT(-42.5,"dddd")</x:f>
      </x:c>
    </x:row>
    <x:row r="142" spans="2:11" x14ac:dyDescent="0.2">
      <x:c r="B142" s="5">
        <x:v>0.75</x:v>
      </x:c>
      <x:c r="C142" s="13">
        <x:f>TEXT(0.75,"#,##0")</x:f>
      </x:c>
      <x:c r="D142" s="13">
        <x:f>TEXT(0.75,"#,##0.00")</x:f>
      </x:c>
      <x:c r="E142" s="13">
        <x:f>TEXT(0.75,"0%")</x:f>
      </x:c>
      <x:c r="F142" s="13">
        <x:f>TEXT(0.75,"$#,##0")</x:f>
      </x:c>
      <x:c r="G142" s="13">
        <x:f>TEXT(0.75,"0.00E+00")</x:f>
      </x:c>
      <x:c r="H142" s="13">
        <x:f>TEXT(0.75,"mm/dd/yyyy")</x:f>
      </x:c>
      <x:c r="I142" s="13">
        <x:f>TEXT(0.75,"dddd")</x:f>
      </x:c>
    </x:row>
    <x:row r="143" spans="2:11" x14ac:dyDescent="0.2">
      <x:c r="B143" s="5">
        <x:v>44927</x:v>
      </x:c>
      <x:c r="C143" s="13">
        <x:f>TEXT(44927,"#,##0")</x:f>
      </x:c>
      <x:c r="D143" s="13">
        <x:f>TEXT(44927,"#,##0.00")</x:f>
      </x:c>
      <x:c r="E143" s="13">
        <x:f>TEXT(44927,"0%")</x:f>
      </x:c>
      <x:c r="F143" s="13">
        <x:f>TEXT(44927,"$#,##0")</x:f>
      </x:c>
      <x:c r="G143" s="13">
        <x:f>TEXT(44927,"0.00E+00")</x:f>
      </x:c>
      <x:c r="H143" s="13">
        <x:f>TEXT(44927,"mm/dd/yyyy")</x:f>
      </x:c>
      <x:c r="I143" s="13">
        <x:f>TEXT(44927,"dddd")</x:f>
      </x:c>
    </x:row>
    <x:row r="144" spans="2:11" x14ac:dyDescent="0.2">
      <x:c r="B144" s="5">
        <x:v>0.5</x:v>
      </x:c>
      <x:c r="C144" s="13">
        <x:f>TEXT(0.5,"#,##0")</x:f>
      </x:c>
      <x:c r="D144" s="13">
        <x:f>TEXT(0.5,"#,##0.00")</x:f>
      </x:c>
      <x:c r="E144" s="13">
        <x:f>TEXT(0.5,"0%")</x:f>
      </x:c>
      <x:c r="F144" s="13">
        <x:f>TEXT(0.5,"$#,##0")</x:f>
      </x:c>
      <x:c r="G144" s="13">
        <x:f>TEXT(0.5,"0.00E+00")</x:f>
      </x:c>
      <x:c r="H144" s="13">
        <x:f>TEXT(0.5,"mm/dd/yyyy")</x:f>
      </x:c>
      <x:c r="I144" s="13">
        <x:f>TEXT(0.5,"dddd")</x:f>
      </x:c>
    </x:row>
    <x:row r="146" spans="2:11" x14ac:dyDescent="0.2">
      <x:c r="B146" s="4" t="s">
        <x:v>65</x:v>
      </x:c>
      <x:c r="C146" s="4"/>
      <x:c r="D146" s="4"/>
      <x:c r="E146" s="4"/>
      <x:c r="F146" s="4"/>
      <x:c r="G146" s="4"/>
      <x:c r="H146" s="4"/>
      <x:c r="I146" s="4"/>
      <x:c r="J146" s="4"/>
      <x:c r="K146" s="4"/>
    </x:row>
    <x:row r="147" spans="2:11" x14ac:dyDescent="0.2">
      <x:c r="B147" s="10" t="s">
        <x:v>2</x:v>
      </x:c>
      <x:c r="C147" s="12" t="s">
        <x:v>66</x:v>
      </x:c>
    </x:row>
    <x:row r="148" spans="2:11" x14ac:dyDescent="0.2">
      <x:c r="B148" s="5" t="s">
        <x:v>38</x:v>
      </x:c>
      <x:c r="C148" s="13">
        <x:f>VALUE("123")</x:f>
      </x:c>
    </x:row>
    <x:row r="149" spans="2:11" x14ac:dyDescent="0.2">
      <x:c r="B149" s="5" t="s">
        <x:v>67</x:v>
      </x:c>
      <x:c r="C149" s="13">
        <x:f>VALUE("42.5")</x:f>
      </x:c>
    </x:row>
    <x:row r="150" spans="2:11" x14ac:dyDescent="0.2">
      <x:c r="B150" s="5" t="s">
        <x:v>68</x:v>
      </x:c>
      <x:c r="C150" s="13">
        <x:f>VALUE("-100")</x:f>
      </x:c>
    </x:row>
    <x:row r="151" spans="2:11" x14ac:dyDescent="0.2">
      <x:c r="B151" s="5" t="s">
        <x:v>69</x:v>
      </x:c>
      <x:c r="C151" s="13">
        <x:f>VALUE("$1,000")</x:f>
      </x:c>
    </x:row>
    <x:row r="152" spans="2:11" x14ac:dyDescent="0.2">
      <x:c r="B152" s="5" t="s">
        <x:v>70</x:v>
      </x:c>
      <x:c r="C152" s="13">
        <x:f>VALUE("1.23E+10")</x:f>
      </x:c>
    </x:row>
    <x:row r="153" spans="2:11" x14ac:dyDescent="0.2">
      <x:c r="B153" s="5" t="s">
        <x:v>71</x:v>
      </x:c>
      <x:c r="C153" s="13">
        <x:f>VALUE("50%")</x:f>
      </x:c>
    </x:row>
    <x:row r="154" spans="2:11" x14ac:dyDescent="0.2">
      <x:c r="B154" s="5" t="s">
        <x:v>37</x:v>
      </x:c>
      <x:c r="C154" s="13">
        <x:f>VALUE("Hello")</x:f>
      </x:c>
    </x:row>
    <x:row r="155" spans="2:11" x14ac:dyDescent="0.2">
      <x:c r="B155" s="5" t="s">
        <x:v>72</x:v>
      </x:c>
      <x:c r="C155" s="13">
        <x:f>VALUE("")</x:f>
      </x:c>
    </x:row>
    <x:row r="157" spans="2:11" x14ac:dyDescent="0.2">
      <x:c r="B157" s="14" t="s">
        <x:v>73</x:v>
      </x:c>
      <x:c r="C157" s="4"/>
      <x:c r="D157" s="4"/>
      <x:c r="E157" s="4"/>
      <x:c r="F157" s="4"/>
      <x:c r="G157" s="4"/>
      <x:c r="H157" s="4"/>
      <x:c r="I157" s="4"/>
      <x:c r="J157" s="4"/>
      <x:c r="K157" s="4"/>
    </x:row>
    <x:row r="158" spans="2:11" x14ac:dyDescent="0.2">
      <x:c r="B158" s="11" t="s">
        <x:v>74</x:v>
      </x:c>
      <x:c r="C158" s="12">
        <x:v>0</x:v>
      </x:c>
      <x:c r="D158" s="12">
        <x:v>1</x:v>
      </x:c>
      <x:c r="E158" s="12">
        <x:v>2</x:v>
      </x:c>
      <x:c r="F158" s="12">
        <x:v>3</x:v>
      </x:c>
      <x:c r="G158" s="12">
        <x:v>5</x:v>
      </x:c>
    </x:row>
    <x:row r="159" spans="2:11" x14ac:dyDescent="0.2">
      <x:c r="B159" s="5" t="s">
        <x:v>4</x:v>
      </x:c>
      <x:c r="C159" s="13">
        <x:f>REPT($C$5,0)</x:f>
      </x:c>
      <x:c r="D159" s="13">
        <x:f>REPT($C$5,1)</x:f>
      </x:c>
      <x:c r="E159" s="13">
        <x:f>REPT($C$5,2)</x:f>
      </x:c>
      <x:c r="F159" s="13">
        <x:f>REPT($C$5,3)</x:f>
      </x:c>
      <x:c r="G159" s="13">
        <x:f>REPT($C$5,5)</x:f>
      </x:c>
    </x:row>
    <x:row r="160" spans="2:11" x14ac:dyDescent="0.2">
      <x:c r="B160" s="5" t="s">
        <x:v>5</x:v>
      </x:c>
      <x:c r="C160" s="13">
        <x:f>REPT($C$6,0)</x:f>
      </x:c>
      <x:c r="D160" s="13">
        <x:f>REPT($C$6,1)</x:f>
      </x:c>
      <x:c r="E160" s="13">
        <x:f>REPT($C$6,2)</x:f>
      </x:c>
      <x:c r="F160" s="13">
        <x:f>REPT($C$6,3)</x:f>
      </x:c>
      <x:c r="G160" s="13">
        <x:f>REPT($C$6,5)</x:f>
      </x:c>
    </x:row>
    <x:row r="161" spans="2:11" x14ac:dyDescent="0.2">
      <x:c r="B161" s="5" t="s">
        <x:v>6</x:v>
      </x:c>
      <x:c r="C161" s="13">
        <x:f>REPT($C$7,0)</x:f>
      </x:c>
      <x:c r="D161" s="13">
        <x:f>REPT($C$7,1)</x:f>
      </x:c>
      <x:c r="E161" s="13">
        <x:f>REPT($C$7,2)</x:f>
      </x:c>
      <x:c r="F161" s="13">
        <x:f>REPT($C$7,3)</x:f>
      </x:c>
      <x:c r="G161" s="13">
        <x:f>REPT($C$7,5)</x:f>
      </x:c>
    </x:row>
    <x:row r="162" spans="2:11" x14ac:dyDescent="0.2">
      <x:c r="B162" s="5" t="s">
        <x:v>7</x:v>
      </x:c>
      <x:c r="C162" s="13">
        <x:f>REPT($C$8,0)</x:f>
      </x:c>
      <x:c r="D162" s="13">
        <x:f>REPT($C$8,1)</x:f>
      </x:c>
      <x:c r="E162" s="13">
        <x:f>REPT($C$8,2)</x:f>
      </x:c>
      <x:c r="F162" s="13">
        <x:f>REPT($C$8,3)</x:f>
      </x:c>
      <x:c r="G162" s="13">
        <x:f>REPT($C$8,5)</x:f>
      </x:c>
    </x:row>
    <x:row r="163" spans="2:11" x14ac:dyDescent="0.2">
      <x:c r="B163" s="5">
        <x:v>123</x:v>
      </x:c>
      <x:c r="C163" s="13">
        <x:f>REPT($C$9,0)</x:f>
      </x:c>
      <x:c r="D163" s="13">
        <x:f>REPT($C$9,1)</x:f>
      </x:c>
      <x:c r="E163" s="13">
        <x:f>REPT($C$9,2)</x:f>
      </x:c>
      <x:c r="F163" s="13">
        <x:f>REPT($C$9,3)</x:f>
      </x:c>
      <x:c r="G163" s="13">
        <x:f>REPT($C$9,5)</x:f>
      </x:c>
    </x:row>
    <x:row r="164" spans="2:11" x14ac:dyDescent="0.2">
      <x:c r="B164" s="5" t="s">
        <x:v>8</x:v>
      </x:c>
      <x:c r="C164" s="13">
        <x:f>REPT($C$10,0)</x:f>
      </x:c>
      <x:c r="D164" s="13">
        <x:f>REPT($C$10,1)</x:f>
      </x:c>
      <x:c r="E164" s="13">
        <x:f>REPT($C$10,2)</x:f>
      </x:c>
      <x:c r="F164" s="13">
        <x:f>REPT($C$10,3)</x:f>
      </x:c>
      <x:c r="G164" s="13">
        <x:f>REPT($C$10,5)</x:f>
      </x:c>
    </x:row>
    <x:row r="165" spans="2:11" x14ac:dyDescent="0.2">
      <x:c r="B165" s="5" t="s">
        <x:v>9</x:v>
      </x:c>
      <x:c r="C165" s="13">
        <x:f>REPT($C$11,0)</x:f>
      </x:c>
      <x:c r="D165" s="13">
        <x:f>REPT($C$11,1)</x:f>
      </x:c>
      <x:c r="E165" s="13">
        <x:f>REPT($C$11,2)</x:f>
      </x:c>
      <x:c r="F165" s="13">
        <x:f>REPT($C$11,3)</x:f>
      </x:c>
      <x:c r="G165" s="13">
        <x:f>REPT($C$11,5)</x:f>
      </x:c>
    </x:row>
    <x:row r="166" spans="2:11" x14ac:dyDescent="0.2">
      <x:c r="B166" s="5" t="s">
        <x:v>12</x:v>
      </x:c>
      <x:c r="C166" s="13">
        <x:f>REPT($C$12,0)</x:f>
      </x:c>
      <x:c r="D166" s="13">
        <x:f>REPT($C$12,1)</x:f>
      </x:c>
      <x:c r="E166" s="13">
        <x:f>REPT($C$12,2)</x:f>
      </x:c>
      <x:c r="F166" s="13">
        <x:f>REPT($C$12,3)</x:f>
      </x:c>
      <x:c r="G166" s="13">
        <x:f>REPT($C$12,5)</x:f>
      </x:c>
    </x:row>
    <x:row r="168" spans="2:11" x14ac:dyDescent="0.2">
      <x:c r="B168" s="14" t="s">
        <x:v>75</x:v>
      </x:c>
      <x:c r="C168" s="4"/>
      <x:c r="D168" s="4"/>
      <x:c r="E168" s="4"/>
      <x:c r="F168" s="4"/>
      <x:c r="G168" s="4"/>
      <x:c r="H168" s="4"/>
      <x:c r="I168" s="4"/>
      <x:c r="J168" s="4"/>
      <x:c r="K168" s="4"/>
    </x:row>
    <x:row r="169" spans="2:11" x14ac:dyDescent="0.2">
      <x:c r="B169" s="11" t="s">
        <x:v>1</x:v>
      </x:c>
      <x:c r="C169" s="12" t="s">
        <x:v>4</x:v>
      </x:c>
      <x:c r="D169" s="12" t="s">
        <x:v>5</x:v>
      </x:c>
      <x:c r="E169" s="12" t="s">
        <x:v>6</x:v>
      </x:c>
      <x:c r="F169" s="12" t="s">
        <x:v>7</x:v>
      </x:c>
      <x:c r="G169" s="12">
        <x:v>123</x:v>
      </x:c>
      <x:c r="H169" s="12" t="s">
        <x:v>8</x:v>
      </x:c>
      <x:c r="I169" s="12" t="s">
        <x:v>9</x:v>
      </x:c>
      <x:c r="J169" s="12" t="s">
        <x:v>12</x:v>
      </x:c>
    </x:row>
    <x:row r="170" spans="2:11" x14ac:dyDescent="0.2">
      <x:c r="B170" s="5" t="s">
        <x:v>4</x:v>
      </x:c>
      <x:c r="C170" s="13">
        <x:f>EXACT($C$5,$C$5)</x:f>
      </x:c>
      <x:c r="D170" s="13">
        <x:f>EXACT($C$5,$C$6)</x:f>
      </x:c>
      <x:c r="E170" s="13">
        <x:f>EXACT($C$5,$C$7)</x:f>
      </x:c>
      <x:c r="F170" s="13">
        <x:f>EXACT($C$5,$C$8)</x:f>
      </x:c>
      <x:c r="G170" s="13">
        <x:f>EXACT($C$5,$C$9)</x:f>
      </x:c>
      <x:c r="H170" s="13">
        <x:f>EXACT($C$5,$C$10)</x:f>
      </x:c>
      <x:c r="I170" s="13">
        <x:f>EXACT($C$5,$C$11)</x:f>
      </x:c>
      <x:c r="J170" s="13">
        <x:f>EXACT($C$5,$C$12)</x:f>
      </x:c>
    </x:row>
    <x:row r="171" spans="2:11" x14ac:dyDescent="0.2">
      <x:c r="B171" s="5" t="s">
        <x:v>5</x:v>
      </x:c>
      <x:c r="C171" s="13">
        <x:f>EXACT($C$6,$C$5)</x:f>
      </x:c>
      <x:c r="D171" s="13">
        <x:f>EXACT($C$6,$C$6)</x:f>
      </x:c>
      <x:c r="E171" s="13">
        <x:f>EXACT($C$6,$C$7)</x:f>
      </x:c>
      <x:c r="F171" s="13">
        <x:f>EXACT($C$6,$C$8)</x:f>
      </x:c>
      <x:c r="G171" s="13">
        <x:f>EXACT($C$6,$C$9)</x:f>
      </x:c>
      <x:c r="H171" s="13">
        <x:f>EXACT($C$6,$C$10)</x:f>
      </x:c>
      <x:c r="I171" s="13">
        <x:f>EXACT($C$6,$C$11)</x:f>
      </x:c>
      <x:c r="J171" s="13">
        <x:f>EXACT($C$6,$C$12)</x:f>
      </x:c>
    </x:row>
    <x:row r="172" spans="2:11" x14ac:dyDescent="0.2">
      <x:c r="B172" s="5" t="s">
        <x:v>6</x:v>
      </x:c>
      <x:c r="C172" s="13">
        <x:f>EXACT($C$7,$C$5)</x:f>
      </x:c>
      <x:c r="D172" s="13">
        <x:f>EXACT($C$7,$C$6)</x:f>
      </x:c>
      <x:c r="E172" s="13">
        <x:f>EXACT($C$7,$C$7)</x:f>
      </x:c>
      <x:c r="F172" s="13">
        <x:f>EXACT($C$7,$C$8)</x:f>
      </x:c>
      <x:c r="G172" s="13">
        <x:f>EXACT($C$7,$C$9)</x:f>
      </x:c>
      <x:c r="H172" s="13">
        <x:f>EXACT($C$7,$C$10)</x:f>
      </x:c>
      <x:c r="I172" s="13">
        <x:f>EXACT($C$7,$C$11)</x:f>
      </x:c>
      <x:c r="J172" s="13">
        <x:f>EXACT($C$7,$C$12)</x:f>
      </x:c>
    </x:row>
    <x:row r="173" spans="2:11" x14ac:dyDescent="0.2">
      <x:c r="B173" s="5" t="s">
        <x:v>7</x:v>
      </x:c>
      <x:c r="C173" s="13">
        <x:f>EXACT($C$8,$C$5)</x:f>
      </x:c>
      <x:c r="D173" s="13">
        <x:f>EXACT($C$8,$C$6)</x:f>
      </x:c>
      <x:c r="E173" s="13">
        <x:f>EXACT($C$8,$C$7)</x:f>
      </x:c>
      <x:c r="F173" s="13">
        <x:f>EXACT($C$8,$C$8)</x:f>
      </x:c>
      <x:c r="G173" s="13">
        <x:f>EXACT($C$8,$C$9)</x:f>
      </x:c>
      <x:c r="H173" s="13">
        <x:f>EXACT($C$8,$C$10)</x:f>
      </x:c>
      <x:c r="I173" s="13">
        <x:f>EXACT($C$8,$C$11)</x:f>
      </x:c>
      <x:c r="J173" s="13">
        <x:f>EXACT($C$8,$C$12)</x:f>
      </x:c>
    </x:row>
    <x:row r="174" spans="2:11" x14ac:dyDescent="0.2">
      <x:c r="B174" s="5">
        <x:v>123</x:v>
      </x:c>
      <x:c r="C174" s="13">
        <x:f>EXACT($C$9,$C$5)</x:f>
      </x:c>
      <x:c r="D174" s="13">
        <x:f>EXACT($C$9,$C$6)</x:f>
      </x:c>
      <x:c r="E174" s="13">
        <x:f>EXACT($C$9,$C$7)</x:f>
      </x:c>
      <x:c r="F174" s="13">
        <x:f>EXACT($C$9,$C$8)</x:f>
      </x:c>
      <x:c r="G174" s="13">
        <x:f>EXACT($C$9,$C$9)</x:f>
      </x:c>
      <x:c r="H174" s="13">
        <x:f>EXACT($C$9,$C$10)</x:f>
      </x:c>
      <x:c r="I174" s="13">
        <x:f>EXACT($C$9,$C$11)</x:f>
      </x:c>
      <x:c r="J174" s="13">
        <x:f>EXACT($C$9,$C$12)</x:f>
      </x:c>
    </x:row>
    <x:row r="175" spans="2:11" x14ac:dyDescent="0.2">
      <x:c r="B175" s="5" t="s">
        <x:v>8</x:v>
      </x:c>
      <x:c r="C175" s="13">
        <x:f>EXACT($C$10,$C$5)</x:f>
      </x:c>
      <x:c r="D175" s="13">
        <x:f>EXACT($C$10,$C$6)</x:f>
      </x:c>
      <x:c r="E175" s="13">
        <x:f>EXACT($C$10,$C$7)</x:f>
      </x:c>
      <x:c r="F175" s="13">
        <x:f>EXACT($C$10,$C$8)</x:f>
      </x:c>
      <x:c r="G175" s="13">
        <x:f>EXACT($C$10,$C$9)</x:f>
      </x:c>
      <x:c r="H175" s="13">
        <x:f>EXACT($C$10,$C$10)</x:f>
      </x:c>
      <x:c r="I175" s="13">
        <x:f>EXACT($C$10,$C$11)</x:f>
      </x:c>
      <x:c r="J175" s="13">
        <x:f>EXACT($C$10,$C$12)</x:f>
      </x:c>
    </x:row>
    <x:row r="176" spans="2:11" x14ac:dyDescent="0.2">
      <x:c r="B176" s="5" t="s">
        <x:v>9</x:v>
      </x:c>
      <x:c r="C176" s="13">
        <x:f>EXACT($C$11,$C$5)</x:f>
      </x:c>
      <x:c r="D176" s="13">
        <x:f>EXACT($C$11,$C$6)</x:f>
      </x:c>
      <x:c r="E176" s="13">
        <x:f>EXACT($C$11,$C$7)</x:f>
      </x:c>
      <x:c r="F176" s="13">
        <x:f>EXACT($C$11,$C$8)</x:f>
      </x:c>
      <x:c r="G176" s="13">
        <x:f>EXACT($C$11,$C$9)</x:f>
      </x:c>
      <x:c r="H176" s="13">
        <x:f>EXACT($C$11,$C$10)</x:f>
      </x:c>
      <x:c r="I176" s="13">
        <x:f>EXACT($C$11,$C$11)</x:f>
      </x:c>
      <x:c r="J176" s="13">
        <x:f>EXACT($C$11,$C$12)</x:f>
      </x:c>
    </x:row>
    <x:row r="177" spans="2:11" x14ac:dyDescent="0.2">
      <x:c r="B177" s="5" t="s">
        <x:v>12</x:v>
      </x:c>
      <x:c r="C177" s="13">
        <x:f>EXACT($C$12,$C$5)</x:f>
      </x:c>
      <x:c r="D177" s="13">
        <x:f>EXACT($C$12,$C$6)</x:f>
      </x:c>
      <x:c r="E177" s="13">
        <x:f>EXACT($C$12,$C$7)</x:f>
      </x:c>
      <x:c r="F177" s="13">
        <x:f>EXACT($C$12,$C$8)</x:f>
      </x:c>
      <x:c r="G177" s="13">
        <x:f>EXACT($C$12,$C$9)</x:f>
      </x:c>
      <x:c r="H177" s="13">
        <x:f>EXACT($C$12,$C$10)</x:f>
      </x:c>
      <x:c r="I177" s="13">
        <x:f>EXACT($C$12,$C$11)</x:f>
      </x:c>
      <x:c r="J177" s="13">
        <x:f>EXACT($C$12,$C$12)</x:f>
      </x:c>
    </x:row>
    <x:row r="179" spans="2:11" x14ac:dyDescent="0.2">
      <x:c r="B179" s="14" t="s">
        <x:v>76</x:v>
      </x:c>
      <x:c r="C179" s="4"/>
      <x:c r="D179" s="4"/>
      <x:c r="E179" s="4"/>
      <x:c r="F179" s="4"/>
      <x:c r="G179" s="4"/>
      <x:c r="H179" s="4"/>
      <x:c r="I179" s="4"/>
      <x:c r="J179" s="4"/>
      <x:c r="K179" s="4"/>
    </x:row>
    <x:row r="180" spans="2:11" x14ac:dyDescent="0.2">
      <x:c r="B180" s="10" t="s">
        <x:v>77</x:v>
      </x:c>
      <x:c r="C180" s="12" t="s">
        <x:v>78</x:v>
      </x:c>
      <x:c r="D180" s="10"/>
      <x:c r="E180" s="10" t="s">
        <x:v>79</x:v>
      </x:c>
      <x:c r="F180" s="12" t="s">
        <x:v>80</x:v>
      </x:c>
    </x:row>
    <x:row r="181" spans="2:11" x14ac:dyDescent="0.2">
      <x:c r="B181" s="5">
        <x:v>10</x:v>
      </x:c>
      <x:c r="C181" s="13">
        <x:f t="shared" ref="C181:C190" si="0">CHAR(B181)</x:f>
      </x:c>
      <x:c r="E181" s="5" t="s">
        <x:v>81</x:v>
      </x:c>
      <x:c r="F181" s="13">
        <x:f t="shared" ref="F181:F190" si="1">CODE(E181)</x:f>
      </x:c>
    </x:row>
    <x:row r="182" spans="2:11" x14ac:dyDescent="0.2">
      <x:c r="B182" s="5">
        <x:v>32</x:v>
      </x:c>
      <x:c r="C182" s="13">
        <x:f t="shared" si="0"/>
      </x:c>
      <x:c r="E182" s="5" t="s">
        <x:v>82</x:v>
      </x:c>
      <x:c r="F182" s="13">
        <x:f t="shared" si="1"/>
      </x:c>
    </x:row>
    <x:row r="183" spans="2:11" x14ac:dyDescent="0.2">
      <x:c r="B183" s="5">
        <x:v>48</x:v>
      </x:c>
      <x:c r="C183" s="13">
        <x:f t="shared" si="0"/>
      </x:c>
      <x:c r="E183" s="5" t="s">
        <x:v>83</x:v>
      </x:c>
      <x:c r="F183" s="13">
        <x:f t="shared" si="1"/>
      </x:c>
    </x:row>
    <x:row r="184" spans="2:11" x14ac:dyDescent="0.2">
      <x:c r="B184" s="5">
        <x:v>65</x:v>
      </x:c>
      <x:c r="C184" s="13">
        <x:f t="shared" si="0"/>
      </x:c>
      <x:c r="E184" s="5" t="s">
        <x:v>84</x:v>
      </x:c>
      <x:c r="F184" s="13">
        <x:f t="shared" si="1"/>
      </x:c>
    </x:row>
    <x:row r="185" spans="2:11" x14ac:dyDescent="0.2">
      <x:c r="B185" s="5">
        <x:v>90</x:v>
      </x:c>
      <x:c r="C185" s="13">
        <x:f t="shared" si="0"/>
      </x:c>
      <x:c r="E185" s="5">
        <x:v>0</x:v>
      </x:c>
      <x:c r="F185" s="13">
        <x:f t="shared" si="1"/>
      </x:c>
    </x:row>
    <x:row r="186" spans="2:11" x14ac:dyDescent="0.2">
      <x:c r="B186" s="5">
        <x:v>97</x:v>
      </x:c>
      <x:c r="C186" s="13">
        <x:f t="shared" si="0"/>
      </x:c>
      <x:c r="E186" s="5">
        <x:v>9</x:v>
      </x:c>
      <x:c r="F186" s="13">
        <x:f t="shared" si="1"/>
      </x:c>
    </x:row>
    <x:row r="187" spans="2:11" x14ac:dyDescent="0.2">
      <x:c r="B187" s="5">
        <x:v>122</x:v>
      </x:c>
      <x:c r="C187" s="13">
        <x:f t="shared" si="0"/>
      </x:c>
      <x:c r="E187" s="5" t="s">
        <x:v>85</x:v>
      </x:c>
      <x:c r="F187" s="13">
        <x:f t="shared" si="1"/>
      </x:c>
    </x:row>
    <x:row r="188" spans="2:11" x14ac:dyDescent="0.2">
      <x:c r="B188" s="5">
        <x:v>33</x:v>
      </x:c>
      <x:c r="C188" s="13">
        <x:f t="shared" si="0"/>
      </x:c>
      <x:c r="E188" s="5" t="s">
        <x:v>86</x:v>
      </x:c>
      <x:c r="F188" s="13">
        <x:f t="shared" si="1"/>
      </x:c>
    </x:row>
    <x:row r="189" spans="2:11" x14ac:dyDescent="0.2">
      <x:c r="B189" s="5">
        <x:v>64</x:v>
      </x:c>
      <x:c r="C189" s="13">
        <x:f t="shared" si="0"/>
      </x:c>
      <x:c r="E189" s="5" t="s">
        <x:v>87</x:v>
      </x:c>
      <x:c r="F189" s="13">
        <x:f t="shared" si="1"/>
      </x:c>
    </x:row>
    <x:row r="190" spans="2:11" x14ac:dyDescent="0.2">
      <x:c r="B190" s="5">
        <x:v>255</x:v>
      </x:c>
      <x:c r="C190" s="13">
        <x:f t="shared" si="0"/>
      </x:c>
      <x:c r="E190" s="5" t="s">
        <x:v>5</x:v>
      </x:c>
      <x:c r="F190" s="13">
        <x:f t="shared" si="1"/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2026-02-09T23:26:49Z</dcterms:created>
  <dcterms:modified xsi:type="dcterms:W3CDTF">2026-02-09T23:40:34Z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5d9cc617-65e0-4657-a32e-72a732ae2e2e</vt:lpwstr>
  </property>
</Properties>
</file>