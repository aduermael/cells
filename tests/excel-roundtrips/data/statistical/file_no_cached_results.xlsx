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110"/>
  <x:workbookPr defaultThemeVersion="202300"/>
  <mc:AlternateContent xmlns:mc="http://schemas.openxmlformats.org/markup-compatibility/2006">
    <mc:Choice Requires="x15">
      <x15ac:absPath xmlns:x15ac="http://schemas.microsoft.com/office/spreadsheetml/2010/11/ac" url="/Users/frl/Desktop/shortcut/stash/excel-test-sets/data/statistical/"/>
    </mc:Choice>
  </mc:AlternateContent>
  <xr:revisionPtr revIDLastSave="0" documentId="13_ncr:1_{AA0346FD-3E56-F64A-8A7A-5000F66CCD46}" xr6:coauthVersionLast="47" xr6:coauthVersionMax="47" xr10:uidLastSave="{00000000-0000-0000-0000-000000000000}"/>
  <x:bookViews>
    <x:workbookView xWindow="760" yWindow="660" windowWidth="29480" windowHeight="17920" xr2:uid="{2A17A059-3A2D-D044-9340-8F7C314EEA32}"/>
  </x:bookViews>
  <x:sheets>
    <x:sheet name="Statistical Functions" sheetId="1" r:id="rId1"/>
  </x:sheets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D135" i="1" l="1"/>
  <c r="D136" i="1"/>
  <c r="D137" i="1"/>
  <c r="D138" i="1"/>
  <c r="D139" i="1"/>
  <c r="D140" i="1"/>
  <c r="D141" i="1"/>
  <c r="D142" i="1"/>
  <c r="D143" i="1"/>
  <c r="D144" i="1"/>
  <c r="D145" i="1"/>
  <c r="D146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C90" i="1"/>
  <c r="D90" i="1"/>
  <c r="E90" i="1"/>
  <c r="F90" i="1"/>
  <c r="G90" i="1"/>
  <c r="H90" i="1"/>
  <c r="I90" i="1"/>
  <c r="J90" i="1"/>
  <c r="K90" i="1"/>
  <c r="C91" i="1"/>
  <c r="D91" i="1"/>
  <c r="E91" i="1"/>
  <c r="F91" i="1"/>
  <c r="G91" i="1"/>
  <c r="H91" i="1"/>
  <c r="I91" i="1"/>
  <c r="J91" i="1"/>
  <c r="K91" i="1"/>
  <c r="C92" i="1"/>
  <c r="D92" i="1"/>
  <c r="E92" i="1"/>
  <c r="F92" i="1"/>
  <c r="G92" i="1"/>
  <c r="H92" i="1"/>
  <c r="I92" i="1"/>
  <c r="J92" i="1"/>
  <c r="K92" i="1"/>
  <c r="C93" i="1"/>
  <c r="D93" i="1"/>
  <c r="E93" i="1"/>
  <c r="F93" i="1"/>
  <c r="G93" i="1"/>
  <c r="H93" i="1"/>
  <c r="I93" i="1"/>
  <c r="J93" i="1"/>
  <c r="K93" i="1"/>
  <c r="C94" i="1"/>
  <c r="D94" i="1"/>
  <c r="E94" i="1"/>
  <c r="F94" i="1"/>
  <c r="G94" i="1"/>
  <c r="H94" i="1"/>
  <c r="I94" i="1"/>
  <c r="J94" i="1"/>
  <c r="K94" i="1"/>
  <c r="C95" i="1"/>
  <c r="D95" i="1"/>
  <c r="E95" i="1"/>
  <c r="F95" i="1"/>
  <c r="G95" i="1"/>
  <c r="H95" i="1"/>
  <c r="I95" i="1"/>
  <c r="J95" i="1"/>
  <c r="K95" i="1"/>
  <c r="C96" i="1"/>
  <c r="D96" i="1"/>
  <c r="E96" i="1"/>
  <c r="F96" i="1"/>
  <c r="G96" i="1"/>
  <c r="H96" i="1"/>
  <c r="I96" i="1"/>
  <c r="J96" i="1"/>
  <c r="K96" i="1"/>
  <c r="C80" i="1"/>
  <c r="D80" i="1"/>
  <c r="E80" i="1"/>
  <c r="F80" i="1"/>
  <c r="G80" i="1"/>
  <c r="H80" i="1"/>
  <c r="I80" i="1"/>
  <c r="J80" i="1"/>
  <c r="K80" i="1"/>
  <c r="C81" i="1"/>
  <c r="D81" i="1"/>
  <c r="E81" i="1"/>
  <c r="F81" i="1"/>
  <c r="G81" i="1"/>
  <c r="H81" i="1"/>
  <c r="I81" i="1"/>
  <c r="J81" i="1"/>
  <c r="K81" i="1"/>
  <c r="C82" i="1"/>
  <c r="D82" i="1"/>
  <c r="E82" i="1"/>
  <c r="F82" i="1"/>
  <c r="G82" i="1"/>
  <c r="H82" i="1"/>
  <c r="I82" i="1"/>
  <c r="J82" i="1"/>
  <c r="K82" i="1"/>
  <c r="C83" i="1"/>
  <c r="D83" i="1"/>
  <c r="E83" i="1"/>
  <c r="F83" i="1"/>
  <c r="G83" i="1"/>
  <c r="H83" i="1"/>
  <c r="I83" i="1"/>
  <c r="J83" i="1"/>
  <c r="K83" i="1"/>
  <c r="C84" i="1"/>
  <c r="D84" i="1"/>
  <c r="E84" i="1"/>
  <c r="F84" i="1"/>
  <c r="G84" i="1"/>
  <c r="H84" i="1"/>
  <c r="I84" i="1"/>
  <c r="J84" i="1"/>
  <c r="K84" i="1"/>
  <c r="C85" i="1"/>
  <c r="D85" i="1"/>
  <c r="E85" i="1"/>
  <c r="F85" i="1"/>
  <c r="G85" i="1"/>
  <c r="H85" i="1"/>
  <c r="I85" i="1"/>
  <c r="J85" i="1"/>
  <c r="K85" i="1"/>
  <c r="C86" i="1"/>
  <c r="D86" i="1"/>
  <c r="E86" i="1"/>
  <c r="F86" i="1"/>
  <c r="G86" i="1"/>
  <c r="H86" i="1"/>
  <c r="I86" i="1"/>
  <c r="J86" i="1"/>
  <c r="K86" i="1"/>
  <c r="C67" i="1"/>
  <c r="D67" i="1"/>
  <c r="E67" i="1"/>
  <c r="F67" i="1"/>
  <c r="G67" i="1"/>
  <c r="H67" i="1"/>
  <c r="I67" i="1"/>
  <c r="J67" i="1"/>
  <c r="K67" i="1"/>
  <c r="C68" i="1"/>
  <c r="D68" i="1"/>
  <c r="E68" i="1"/>
  <c r="F68" i="1"/>
  <c r="G68" i="1"/>
  <c r="H68" i="1"/>
  <c r="I68" i="1"/>
  <c r="J68" i="1"/>
  <c r="K68" i="1"/>
  <c r="C69" i="1"/>
  <c r="D69" i="1"/>
  <c r="E69" i="1"/>
  <c r="F69" i="1"/>
  <c r="G69" i="1"/>
  <c r="H69" i="1"/>
  <c r="I69" i="1"/>
  <c r="J69" i="1"/>
  <c r="K69" i="1"/>
  <c r="C70" i="1"/>
  <c r="D70" i="1"/>
  <c r="E70" i="1"/>
  <c r="F70" i="1"/>
  <c r="G70" i="1"/>
  <c r="H70" i="1"/>
  <c r="I70" i="1"/>
  <c r="J70" i="1"/>
  <c r="K70" i="1"/>
  <c r="C71" i="1"/>
  <c r="D71" i="1"/>
  <c r="E71" i="1"/>
  <c r="F71" i="1"/>
  <c r="G71" i="1"/>
  <c r="H71" i="1"/>
  <c r="I71" i="1"/>
  <c r="J71" i="1"/>
  <c r="K71" i="1"/>
  <c r="C72" i="1"/>
  <c r="D72" i="1"/>
  <c r="E72" i="1"/>
  <c r="F72" i="1"/>
  <c r="G72" i="1"/>
  <c r="H72" i="1"/>
  <c r="I72" i="1"/>
  <c r="J72" i="1"/>
  <c r="K72" i="1"/>
  <c r="C73" i="1"/>
  <c r="D73" i="1"/>
  <c r="E73" i="1"/>
  <c r="F73" i="1"/>
  <c r="G73" i="1"/>
  <c r="H73" i="1"/>
  <c r="I73" i="1"/>
  <c r="J73" i="1"/>
  <c r="K73" i="1"/>
  <c r="C55" i="1"/>
  <c r="D55" i="1"/>
  <c r="E55" i="1"/>
  <c r="F55" i="1"/>
  <c r="G55" i="1"/>
  <c r="H55" i="1"/>
  <c r="I55" i="1"/>
  <c r="J55" i="1"/>
  <c r="K55" i="1"/>
  <c r="C56" i="1"/>
  <c r="D56" i="1"/>
  <c r="E56" i="1"/>
  <c r="F56" i="1"/>
  <c r="G56" i="1"/>
  <c r="H56" i="1"/>
  <c r="I56" i="1"/>
  <c r="J56" i="1"/>
  <c r="K56" i="1"/>
  <c r="C57" i="1"/>
  <c r="D57" i="1"/>
  <c r="E57" i="1"/>
  <c r="F57" i="1"/>
  <c r="G57" i="1"/>
  <c r="H57" i="1"/>
  <c r="I57" i="1"/>
  <c r="J57" i="1"/>
  <c r="K57" i="1"/>
  <c r="C58" i="1"/>
  <c r="D58" i="1"/>
  <c r="E58" i="1"/>
  <c r="F58" i="1"/>
  <c r="G58" i="1"/>
  <c r="H58" i="1"/>
  <c r="I58" i="1"/>
  <c r="J58" i="1"/>
  <c r="K58" i="1"/>
  <c r="C59" i="1"/>
  <c r="D59" i="1"/>
  <c r="E59" i="1"/>
  <c r="F59" i="1"/>
  <c r="G59" i="1"/>
  <c r="H59" i="1"/>
  <c r="I59" i="1"/>
  <c r="J59" i="1"/>
  <c r="K59" i="1"/>
  <c r="C60" i="1"/>
  <c r="D60" i="1"/>
  <c r="E60" i="1"/>
  <c r="F60" i="1"/>
  <c r="G60" i="1"/>
  <c r="H60" i="1"/>
  <c r="I60" i="1"/>
  <c r="J60" i="1"/>
  <c r="K60" i="1"/>
  <c r="C61" i="1"/>
  <c r="D61" i="1"/>
  <c r="E61" i="1"/>
  <c r="F61" i="1"/>
  <c r="G61" i="1"/>
  <c r="H61" i="1"/>
  <c r="I61" i="1"/>
  <c r="J61" i="1"/>
  <c r="K61" i="1"/>
  <c r="C45" i="1"/>
  <c r="D45" i="1"/>
  <c r="E45" i="1"/>
  <c r="F45" i="1"/>
  <c r="G45" i="1"/>
  <c r="H45" i="1"/>
  <c r="I45" i="1"/>
  <c r="J45" i="1"/>
  <c r="K45" i="1"/>
  <c r="C46" i="1"/>
  <c r="D46" i="1"/>
  <c r="E46" i="1"/>
  <c r="F46" i="1"/>
  <c r="G46" i="1"/>
  <c r="H46" i="1"/>
  <c r="I46" i="1"/>
  <c r="J46" i="1"/>
  <c r="K46" i="1"/>
  <c r="C47" i="1"/>
  <c r="D47" i="1"/>
  <c r="E47" i="1"/>
  <c r="F47" i="1"/>
  <c r="G47" i="1"/>
  <c r="H47" i="1"/>
  <c r="I47" i="1"/>
  <c r="J47" i="1"/>
  <c r="K47" i="1"/>
  <c r="C48" i="1"/>
  <c r="D48" i="1"/>
  <c r="E48" i="1"/>
  <c r="F48" i="1"/>
  <c r="G48" i="1"/>
  <c r="H48" i="1"/>
  <c r="I48" i="1"/>
  <c r="J48" i="1"/>
  <c r="K48" i="1"/>
  <c r="C49" i="1"/>
  <c r="D49" i="1"/>
  <c r="E49" i="1"/>
  <c r="F49" i="1"/>
  <c r="G49" i="1"/>
  <c r="H49" i="1"/>
  <c r="I49" i="1"/>
  <c r="J49" i="1"/>
  <c r="K49" i="1"/>
  <c r="C33" i="1"/>
  <c r="D33" i="1"/>
  <c r="E33" i="1"/>
  <c r="F33" i="1"/>
  <c r="G33" i="1"/>
  <c r="H33" i="1"/>
  <c r="I33" i="1"/>
  <c r="J33" i="1"/>
  <c r="K33" i="1"/>
  <c r="C34" i="1"/>
  <c r="D34" i="1"/>
  <c r="E34" i="1"/>
  <c r="F34" i="1"/>
  <c r="G34" i="1"/>
  <c r="H34" i="1"/>
  <c r="I34" i="1"/>
  <c r="J34" i="1"/>
  <c r="K34" i="1"/>
  <c r="C35" i="1"/>
  <c r="D35" i="1"/>
  <c r="E35" i="1"/>
  <c r="F35" i="1"/>
  <c r="G35" i="1"/>
  <c r="H35" i="1"/>
  <c r="I35" i="1"/>
  <c r="J35" i="1"/>
  <c r="K35" i="1"/>
  <c r="C36" i="1"/>
  <c r="D36" i="1"/>
  <c r="E36" i="1"/>
  <c r="F36" i="1"/>
  <c r="G36" i="1"/>
  <c r="H36" i="1"/>
  <c r="I36" i="1"/>
  <c r="J36" i="1"/>
  <c r="K36" i="1"/>
  <c r="C37" i="1"/>
  <c r="D37" i="1"/>
  <c r="E37" i="1"/>
  <c r="F37" i="1"/>
  <c r="G37" i="1"/>
  <c r="H37" i="1"/>
  <c r="I37" i="1"/>
  <c r="J37" i="1"/>
  <c r="K37" i="1"/>
  <c r="C38" i="1"/>
  <c r="D38" i="1"/>
  <c r="E38" i="1"/>
  <c r="F38" i="1"/>
  <c r="G38" i="1"/>
  <c r="H38" i="1"/>
  <c r="I38" i="1"/>
  <c r="J38" i="1"/>
  <c r="K38" i="1"/>
  <c r="C39" i="1"/>
  <c r="D39" i="1"/>
  <c r="E39" i="1"/>
  <c r="F39" i="1"/>
  <c r="G39" i="1"/>
  <c r="H39" i="1"/>
  <c r="I39" i="1"/>
  <c r="J39" i="1"/>
  <c r="K39" i="1"/>
  <c r="C18" i="1"/>
  <c r="D18" i="1"/>
  <c r="E18" i="1"/>
  <c r="F18" i="1"/>
  <c r="G18" i="1"/>
  <c r="H18" i="1"/>
  <c r="I18" i="1"/>
  <c r="J18" i="1"/>
  <c r="K18" i="1"/>
  <c r="C19" i="1"/>
  <c r="D19" i="1"/>
  <c r="E19" i="1"/>
  <c r="F19" i="1"/>
  <c r="G19" i="1"/>
  <c r="H19" i="1"/>
  <c r="I19" i="1"/>
  <c r="J19" i="1"/>
  <c r="K19" i="1"/>
  <c r="C20" i="1"/>
  <c r="D20" i="1"/>
  <c r="E20" i="1"/>
  <c r="F20" i="1"/>
  <c r="G20" i="1"/>
  <c r="H20" i="1"/>
  <c r="I20" i="1"/>
  <c r="J20" i="1"/>
  <c r="K20" i="1"/>
  <c r="C21" i="1"/>
  <c r="D21" i="1"/>
  <c r="E21" i="1"/>
  <c r="F21" i="1"/>
  <c r="G21" i="1"/>
  <c r="H21" i="1"/>
  <c r="I21" i="1"/>
  <c r="J21" i="1"/>
  <c r="K21" i="1"/>
  <c r="C22" i="1"/>
  <c r="D22" i="1"/>
  <c r="E22" i="1"/>
  <c r="F22" i="1"/>
  <c r="G22" i="1"/>
  <c r="H22" i="1"/>
  <c r="I22" i="1"/>
  <c r="J22" i="1"/>
  <c r="K22" i="1"/>
  <c r="C23" i="1"/>
  <c r="D23" i="1"/>
  <c r="E23" i="1"/>
  <c r="F23" i="1"/>
  <c r="G23" i="1"/>
  <c r="H23" i="1"/>
  <c r="I23" i="1"/>
  <c r="J23" i="1"/>
  <c r="K23" i="1"/>
  <c r="C24" i="1"/>
  <c r="D24" i="1"/>
  <c r="E24" i="1"/>
  <c r="F24" i="1"/>
  <c r="G24" i="1"/>
  <c r="H24" i="1"/>
  <c r="I24" i="1"/>
  <c r="J24" i="1"/>
  <c r="K24" i="1"/>
  <c r="C25" i="1"/>
  <c r="D25" i="1"/>
  <c r="E25" i="1"/>
  <c r="F25" i="1"/>
  <c r="G25" i="1"/>
  <c r="H25" i="1"/>
  <c r="I25" i="1"/>
  <c r="J25" i="1"/>
  <c r="K25" i="1"/>
  <c r="C26" i="1"/>
  <c r="D26" i="1"/>
  <c r="E26" i="1"/>
  <c r="F26" i="1"/>
  <c r="G26" i="1"/>
  <c r="H26" i="1"/>
  <c r="I26" i="1"/>
  <c r="J26" i="1"/>
  <c r="K26" i="1"/>
  <c r="C27" i="1"/>
  <c r="D27" i="1"/>
  <c r="E27" i="1"/>
  <c r="F27" i="1"/>
  <c r="G27" i="1"/>
  <c r="H27" i="1"/>
  <c r="I27" i="1"/>
  <c r="J27" i="1"/>
  <c r="K27" i="1"/>
</calcChain>
</file>

<file path=xl/sharedStrings.xml><?xml version="1.0" encoding="utf-8"?>
<sst xmlns="http://schemas.openxmlformats.org/spreadsheetml/2006/main" count="228" uniqueCount="131">
  <si>
    <t>NOTES</t>
  </si>
  <si>
    <t>STATISTICAL FORMULA TEST SUITE</t>
  </si>
  <si>
    <t>Test Input Datasets</t>
  </si>
  <si>
    <t>Element</t>
  </si>
  <si>
    <t>DS1: Positive</t>
  </si>
  <si>
    <t>DS2: Mixed ±</t>
  </si>
  <si>
    <t>DS3: Decimals</t>
  </si>
  <si>
    <t>DS4: Duplicates</t>
  </si>
  <si>
    <t>DS5: Single</t>
  </si>
  <si>
    <t>DS6: All Same</t>
  </si>
  <si>
    <t>DS7: Text/Blank</t>
  </si>
  <si>
    <t>DS8: Large Nums</t>
  </si>
  <si>
    <t>DS9: Small Nums</t>
  </si>
  <si>
    <t>Val 1</t>
  </si>
  <si>
    <t>Val 2</t>
  </si>
  <si>
    <t>text</t>
  </si>
  <si>
    <t>Val 3</t>
  </si>
  <si>
    <t>Val 4</t>
  </si>
  <si>
    <t>Val 5</t>
  </si>
  <si>
    <t>Val 6</t>
  </si>
  <si>
    <t>hello</t>
  </si>
  <si>
    <t>Val 7</t>
  </si>
  <si>
    <t>AGGREGATE STATISTICAL FUNCTIONS</t>
  </si>
  <si>
    <t>Function</t>
  </si>
  <si>
    <t>AVERAGE</t>
  </si>
  <si>
    <t>COUNT</t>
  </si>
  <si>
    <t>COUNTA</t>
  </si>
  <si>
    <t>COUNTBLANK</t>
  </si>
  <si>
    <t>MIN</t>
  </si>
  <si>
    <t>MAX</t>
  </si>
  <si>
    <t>MEDIAN</t>
  </si>
  <si>
    <t>MODE</t>
  </si>
  <si>
    <t>STDEV</t>
  </si>
  <si>
    <t>VAR</t>
  </si>
  <si>
    <t>PERCENTILE.INC(Dataset, k)</t>
  </si>
  <si>
    <t>k \ Dataset</t>
  </si>
  <si>
    <t>QUARTILE.INC(Dataset, Quart)</t>
  </si>
  <si>
    <t>Quart \ Dataset</t>
  </si>
  <si>
    <t>Q0 (0)</t>
  </si>
  <si>
    <t>Q1 (1)</t>
  </si>
  <si>
    <t>Q2 (2)</t>
  </si>
  <si>
    <t>Q3 (3)</t>
  </si>
  <si>
    <t>Q4 (4)</t>
  </si>
  <si>
    <t>LARGE(Dataset, k)</t>
  </si>
  <si>
    <t>SMALL(Dataset, k)</t>
  </si>
  <si>
    <t>RANK.EQ(Value, Dataset, Order)</t>
  </si>
  <si>
    <t>Descending (order=0)</t>
  </si>
  <si>
    <t>Value \ Dataset</t>
  </si>
  <si>
    <t>Ascending (order=1)</t>
  </si>
  <si>
    <t>MINIFS / MAXIFS TESTS</t>
  </si>
  <si>
    <t>Criteria Test Data</t>
  </si>
  <si>
    <t>Row</t>
  </si>
  <si>
    <t>Value</t>
  </si>
  <si>
    <t>Category</t>
  </si>
  <si>
    <t>Score</t>
  </si>
  <si>
    <t>Region</t>
  </si>
  <si>
    <t>A</t>
  </si>
  <si>
    <t>East</t>
  </si>
  <si>
    <t>B</t>
  </si>
  <si>
    <t>West</t>
  </si>
  <si>
    <t>C</t>
  </si>
  <si>
    <t>North</t>
  </si>
  <si>
    <t>South</t>
  </si>
  <si>
    <t>MINIFS(min_range, criteria_range1, criteria1, ...)</t>
  </si>
  <si>
    <t>Test Description</t>
  </si>
  <si>
    <t>Formula</t>
  </si>
  <si>
    <t>Result</t>
  </si>
  <si>
    <t>Min Value where Category = A</t>
  </si>
  <si>
    <t>MINIFS($C$103:$C$112,$D$103:$D$112,"A")</t>
  </si>
  <si>
    <t>Min Value where Category = B</t>
  </si>
  <si>
    <t>MINIFS($C$103:$C$112,$D$103:$D$112,"B")</t>
  </si>
  <si>
    <t>Min Value where Category = C</t>
  </si>
  <si>
    <t>MINIFS($C$103:$C$112,$D$103:$D$112,"C")</t>
  </si>
  <si>
    <t>Min Value where Region = East</t>
  </si>
  <si>
    <t>MINIFS($C$103:$C$112,$F$103:$F$112,"East")</t>
  </si>
  <si>
    <t>Min Value where Score &gt; 80</t>
  </si>
  <si>
    <t>MINIFS($C$103:$C$112,$E$103:$E$112,"&gt;"&amp;80)</t>
  </si>
  <si>
    <t>Min Value where Score &gt;= 90</t>
  </si>
  <si>
    <t>MINIFS($C$103:$C$112,$E$103:$E$112,"&gt;="&amp;90)</t>
  </si>
  <si>
    <t>Min Value where Score &lt; 70</t>
  </si>
  <si>
    <t>MINIFS($C$103:$C$112,$E$103:$E$112,"&lt;"&amp;70)</t>
  </si>
  <si>
    <t>Min Score where Category = A AND Region = East</t>
  </si>
  <si>
    <t>MINIFS($E$103:$E$112,$D$103:$D$112,"A",$F$103:$F$112,"East")</t>
  </si>
  <si>
    <t>Min Score where Category = B AND Score &gt; 60</t>
  </si>
  <si>
    <t>MINIFS($E$103:$E$112,$D$103:$D$112,"B",$E$103:$E$112,"&gt;"&amp;60)</t>
  </si>
  <si>
    <t>Min Value where Value &gt; 0 AND Value &lt; 20</t>
  </si>
  <si>
    <t>MINIFS($C$103:$C$112,$C$103:$C$112,"&gt;"&amp;0,$C$103:$C$112,"&lt;"&amp;20)</t>
  </si>
  <si>
    <t>Min Value where Category = Z (no match)</t>
  </si>
  <si>
    <t>MINIFS($C$103:$C$112,$D$103:$D$112,"Z")</t>
  </si>
  <si>
    <t>Min Score where Score &gt; 100 (no match)</t>
  </si>
  <si>
    <t>MINIFS($E$103:$E$112,$E$103:$E$112,"&gt;"&amp;100)</t>
  </si>
  <si>
    <t>MAXIFS(max_range, criteria_range1, criteria1, ...)</t>
  </si>
  <si>
    <t>Max Value where Category = A</t>
  </si>
  <si>
    <t>MAXIFS($C$103:$C$112,$D$103:$D$112,"A")</t>
  </si>
  <si>
    <t>Max Value where Category = B</t>
  </si>
  <si>
    <t>MAXIFS($C$103:$C$112,$D$103:$D$112,"B")</t>
  </si>
  <si>
    <t>Max Value where Category = C</t>
  </si>
  <si>
    <t>MAXIFS($C$103:$C$112,$D$103:$D$112,"C")</t>
  </si>
  <si>
    <t>Max Value where Region = East</t>
  </si>
  <si>
    <t>MAXIFS($C$103:$C$112,$F$103:$F$112,"East")</t>
  </si>
  <si>
    <t>Max Value where Score &gt; 80</t>
  </si>
  <si>
    <t>MAXIFS($C$103:$C$112,$E$103:$E$112,"&gt;"&amp;80)</t>
  </si>
  <si>
    <t>Max Value where Score &gt;= 90</t>
  </si>
  <si>
    <t>MAXIFS($C$103:$C$112,$E$103:$E$112,"&gt;="&amp;90)</t>
  </si>
  <si>
    <t>Max Value where Score &lt; 70</t>
  </si>
  <si>
    <t>MAXIFS($C$103:$C$112,$E$103:$E$112,"&lt;"&amp;70)</t>
  </si>
  <si>
    <t>Max Score where Category = A AND Region = East</t>
  </si>
  <si>
    <t>MAXIFS($E$103:$E$112,$D$103:$D$112,"A",$F$103:$F$112,"East")</t>
  </si>
  <si>
    <t>Max Score where Category = B AND Score &gt; 60</t>
  </si>
  <si>
    <t>MAXIFS($E$103:$E$112,$D$103:$D$112,"B",$E$103:$E$112,"&gt;"&amp;60)</t>
  </si>
  <si>
    <t>Max Value where Value &gt; 0 AND Value &lt; 20</t>
  </si>
  <si>
    <t>MAXIFS($C$103:$C$112,$C$103:$C$112,"&gt;"&amp;0,$C$103:$C$112,"&lt;"&amp;20)</t>
  </si>
  <si>
    <t>Max Value where Category = Z (no match)</t>
  </si>
  <si>
    <t>MAXIFS($C$103:$C$112,$D$103:$D$112,"Z")</t>
  </si>
  <si>
    <t>Max Score where Score &gt; 100 (no match)</t>
  </si>
  <si>
    <t>MAXIFS($E$103:$E$112,$E$103:$E$112,"&gt;"&amp;100)</t>
  </si>
  <si>
    <t>No matching value found (e.g., MODE on unique data, RANK on non-existent value)</t>
  </si>
  <si>
    <t>Invalid numeric result (e.g., LARGE/SMALL k exceeds count, overflow)</t>
  </si>
  <si>
    <t>Division by zero (e.g., STDEV/VAR on single-value dataset)</t>
  </si>
  <si>
    <t>Wrong argument type (e.g., RANK on text value)</t>
  </si>
  <si>
    <t>MINIFS/MAXIFS return 0 when no criteria match (not an error)</t>
  </si>
  <si>
    <t>Datasets</t>
  </si>
  <si>
    <t>DS1-DS9 in rows 6-12; change input values there to re-test all formulas</t>
  </si>
  <si>
    <t>Criteria Data</t>
  </si>
  <si>
    <t>MINIFS/MAXIFS use dedicated test table in rows 103-112</t>
  </si>
  <si>
    <t>STDEV/VAR</t>
  </si>
  <si>
    <t>Uses STDEV.S and VAR.S (sample, not population). Use STDEV.P / VAR.P for population</t>
  </si>
  <si>
    <t>Uses MODE.SNGL (returns single mode). Use MODE.MULT for multiple modes</t>
  </si>
  <si>
    <t>PERCENTILE/QUARTILE</t>
  </si>
  <si>
    <t>Uses .INC variants (inclusive). .EXC variants exclude 0 and 1 endpoints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</si>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</sst>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i/>
      <sz val="10"/>
      <color theme="1"/>
      <name val="Aptos Narrow"/>
      <scheme val="minor"/>
    </font>
    <font>
      <b/>
      <sz val="12"/>
      <color rgb="FFC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6" fillId="2" borderId="0" xfId="0" applyFont="1" applyFill="1"/>
    <xf numFmtId="11" fontId="2" fillId="0" borderId="0" xfId="0" applyNumberFormat="1" applyFont="1" applyAlignment="1">
      <alignment horizontal="center"/>
    </xf>
    <xf numFmtId="0" fontId="6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1" fontId="4" fillId="0" borderId="0" xfId="0" applyNumberFormat="1" applyFont="1" applyAlignment="1">
      <alignment horizontal="center"/>
    </xf>
    <xf numFmtId="0" fontId="3" fillId="2" borderId="0" xfId="0" applyFont="1" applyFill="1"/>
    <xf numFmtId="0" fontId="5" fillId="0" borderId="0" xfId="0" applyFont="1"/>
    <xf numFmtId="0" fontId="5" fillId="2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49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6A1B93C-76C9-1A4C-95EC-9A52D215177E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0BD2570-6520-A945-BE02-CA775A5C6696}" mc:Ignorable="x14ac xr xr2 xr3">
  <x:dimension ref="B2:K159"/>
  <x:sheetViews>
    <x:sheetView tabSelected="1" workbookViewId="0">
      <x:selection activeCell="C15" sqref="C15"/>
    </x:sheetView>
  </x:sheetViews>
  <x:sheetFormatPr baseColWidth="10" defaultRowHeight="16" x14ac:dyDescent="0.2"/>
  <x:cols>
    <x:col min="2" max="2" width="42.1640625" bestFit="1" customWidth="1"/>
    <x:col min="3" max="3" width="70.6640625" bestFit="1" customWidth="1"/>
    <x:col min="5" max="5" width="12.33203125" bestFit="1" customWidth="1"/>
    <x:col min="6" max="6" width="13.5" bestFit="1" customWidth="1"/>
    <x:col min="7" max="7" width="10" bestFit="1" customWidth="1"/>
    <x:col min="8" max="8" width="11.83203125" bestFit="1" customWidth="1"/>
    <x:col min="9" max="9" width="13.33203125" bestFit="1" customWidth="1"/>
    <x:col min="10" max="10" width="14.1640625" bestFit="1" customWidth="1"/>
    <x:col min="11" max="11" width="14.33203125" bestFit="1" customWidth="1"/>
  </x:cols>
  <x:sheetData>
    <x:row r="2" spans="2:11" ht="19" x14ac:dyDescent="0.25">
      <x:c r="B2" s="1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 spans="2:11" x14ac:dyDescent="0.2">
      <x:c r="C3" s="2"/>
      <x:c r="D3" s="2"/>
      <x:c r="E3" s="2"/>
      <x:c r="F3" s="2"/>
      <x:c r="G3" s="2"/>
      <x:c r="H3" s="2"/>
      <x:c r="I3" s="2"/>
      <x:c r="J3" s="2"/>
      <x:c r="K3" s="2"/>
    </x:row>
    <x:row r="4" spans="2:11" x14ac:dyDescent="0.2">
      <x:c r="B4" s="4" t="s">
        <x:v>2</x:v>
      </x:c>
      <x:c r="C4" s="4"/>
      <x:c r="D4" s="4"/>
      <x:c r="E4" s="4"/>
      <x:c r="F4" s="4"/>
      <x:c r="G4" s="4"/>
      <x:c r="H4" s="4"/>
      <x:c r="I4" s="4"/>
      <x:c r="J4" s="4"/>
      <x:c r="K4" s="4"/>
    </x:row>
    <x:row r="5" spans="2:11" x14ac:dyDescent="0.2">
      <x:c r="B5" s="7" t="s">
        <x:v>3</x:v>
      </x:c>
      <x:c r="C5" s="7" t="s">
        <x:v>4</x:v>
      </x:c>
      <x:c r="D5" s="7" t="s">
        <x:v>5</x:v>
      </x:c>
      <x:c r="E5" s="7" t="s">
        <x:v>6</x:v>
      </x:c>
      <x:c r="F5" s="7" t="s">
        <x:v>7</x:v>
      </x:c>
      <x:c r="G5" s="7" t="s">
        <x:v>8</x:v>
      </x:c>
      <x:c r="H5" s="7" t="s">
        <x:v>9</x:v>
      </x:c>
      <x:c r="I5" s="7" t="s">
        <x:v>10</x:v>
      </x:c>
      <x:c r="J5" s="7" t="s">
        <x:v>11</x:v>
      </x:c>
      <x:c r="K5" s="7" t="s">
        <x:v>12</x:v>
      </x:c>
    </x:row>
    <x:row r="6" spans="2:11" x14ac:dyDescent="0.2">
      <x:c r="B6" s="5" t="s">
        <x:v>13</x:v>
      </x:c>
      <x:c r="C6" s="9">
        <x:v>1</x:v>
      </x:c>
      <x:c r="D6" s="9">
        <x:v>-50</x:v>
      </x:c>
      <x:c r="E6" s="9">
        <x:v>0.5</x:v>
      </x:c>
      <x:c r="F6" s="9">
        <x:v>3</x:v>
      </x:c>
      <x:c r="G6" s="9">
        <x:v>42</x:v>
      </x:c>
      <x:c r="H6" s="9">
        <x:v>5</x:v>
      </x:c>
      <x:c r="I6" s="9">
        <x:v>1</x:v>
      </x:c>
      <x:c r="J6" s="9">
        <x:v>1E+100</x:v>
      </x:c>
      <x:c r="K6" s="9">
        <x:v>1E-100</x:v>
      </x:c>
    </x:row>
    <x:row r="7" spans="2:11" x14ac:dyDescent="0.2">
      <x:c r="B7" s="5" t="s">
        <x:v>14</x:v>
      </x:c>
      <x:c r="C7" s="9">
        <x:v>5</x:v>
      </x:c>
      <x:c r="D7" s="9">
        <x:v>-10</x:v>
      </x:c>
      <x:c r="E7" s="9">
        <x:v>1.25</x:v>
      </x:c>
      <x:c r="F7" s="9">
        <x:v>3</x:v>
      </x:c>
      <x:c r="G7" s="9"/>
      <x:c r="H7" s="9">
        <x:v>5</x:v>
      </x:c>
      <x:c r="I7" s="9" t="s">
        <x:v>15</x:v>
      </x:c>
      <x:c r="J7" s="9">
        <x:v>4.9999999999999999E+100</x:v>
      </x:c>
      <x:c r="K7" s="9">
        <x:v>5.0000000000000001E-100</x:v>
      </x:c>
    </x:row>
    <x:row r="8" spans="2:11" x14ac:dyDescent="0.2">
      <x:c r="B8" s="5" t="s">
        <x:v>16</x:v>
      </x:c>
      <x:c r="C8" s="9">
        <x:v>10</x:v>
      </x:c>
      <x:c r="D8" s="9">
        <x:v>-1</x:v>
      </x:c>
      <x:c r="E8" s="9">
        <x:v>3.75</x:v>
      </x:c>
      <x:c r="F8" s="9">
        <x:v>7</x:v>
      </x:c>
      <x:c r="G8" s="9"/>
      <x:c r="H8" s="9">
        <x:v>5</x:v>
      </x:c>
      <x:c r="I8" s="9"/>
      <x:c r="J8" s="9">
        <x:v>9.9999999999999997E+199</x:v>
      </x:c>
      <x:c r="K8" s="9">
        <x:v>9.9999999999999998E-201</x:v>
      </x:c>
    </x:row>
    <x:row r="9" spans="2:11" x14ac:dyDescent="0.2">
      <x:c r="B9" s="5" t="s">
        <x:v>17</x:v>
      </x:c>
      <x:c r="C9" s="9">
        <x:v>20</x:v>
      </x:c>
      <x:c r="D9" s="9">
        <x:v>0</x:v>
      </x:c>
      <x:c r="E9" s="9">
        <x:v>7.5</x:v>
      </x:c>
      <x:c r="F9" s="9">
        <x:v>7</x:v>
      </x:c>
      <x:c r="G9" s="9"/>
      <x:c r="H9" s="9">
        <x:v>5</x:v>
      </x:c>
      <x:c r="I9" s="9">
        <x:v>4</x:v>
      </x:c>
      <x:c r="J9" s="9">
        <x:v>5.0000000000000002E+200</x:v>
      </x:c>
      <x:c r="K9" s="9">
        <x:v>4.9999999999999999E-200</x:v>
      </x:c>
    </x:row>
    <x:row r="10" spans="2:11" x14ac:dyDescent="0.2">
      <x:c r="B10" s="5" t="s">
        <x:v>18</x:v>
      </x:c>
      <x:c r="C10" s="9">
        <x:v>50</x:v>
      </x:c>
      <x:c r="D10" s="9">
        <x:v>1</x:v>
      </x:c>
      <x:c r="E10" s="9">
        <x:v>12.5</x:v>
      </x:c>
      <x:c r="F10" s="9">
        <x:v>7</x:v>
      </x:c>
      <x:c r="G10" s="9"/>
      <x:c r="H10" s="9">
        <x:v>5</x:v>
      </x:c>
      <x:c r="I10" s="9">
        <x:v>5</x:v>
      </x:c>
      <x:c r="J10" s="9">
        <x:v>9.9999999999999999E+306</x:v>
      </x:c>
      <x:c r="K10" s="9">
        <x:v>9.9999999999999991E-308</x:v>
      </x:c>
    </x:row>
    <x:row r="11" spans="2:11" x14ac:dyDescent="0.2">
      <x:c r="B11" s="5" t="s">
        <x:v>19</x:v>
      </x:c>
      <x:c r="C11" s="9">
        <x:v>100</x:v>
      </x:c>
      <x:c r="D11" s="9">
        <x:v>10</x:v>
      </x:c>
      <x:c r="E11" s="9">
        <x:v>25.75</x:v>
      </x:c>
      <x:c r="F11" s="9">
        <x:v>7</x:v>
      </x:c>
      <x:c r="G11" s="9"/>
      <x:c r="H11" s="9">
        <x:v>5</x:v>
      </x:c>
      <x:c r="I11" s="9" t="s">
        <x:v>20</x:v>
      </x:c>
      <x:c r="J11" s="9">
        <x:v>5.0000000000000001E+307</x:v>
      </x:c>
      <x:c r="K11" s="9">
        <x:v>5.0000000000000001E-307</x:v>
      </x:c>
    </x:row>
    <x:row r="12" spans="2:11" x14ac:dyDescent="0.2">
      <x:c r="B12" s="5" t="s">
        <x:v>21</x:v>
      </x:c>
      <x:c r="C12" s="9">
        <x:v>200</x:v>
      </x:c>
      <x:c r="D12" s="9">
        <x:v>50</x:v>
      </x:c>
      <x:c r="E12" s="9">
        <x:v>50.25</x:v>
      </x:c>
      <x:c r="F12" s="9">
        <x:v>3</x:v>
      </x:c>
      <x:c r="G12" s="9"/>
      <x:c r="H12" s="9">
        <x:v>5</x:v>
      </x:c>
      <x:c r="I12" s="9"/>
      <x:c r="J12" s="9">
        <x:v>9.9000000000000007E+307</x:v>
      </x:c>
      <x:c r="K12" s="9">
        <x:v>0</x:v>
      </x:c>
    </x:row>
    <x:row r="15" spans="2:11" x14ac:dyDescent="0.2">
      <x:c r="B15" s="10" t="s">
        <x:v>22</x:v>
      </x:c>
      <x:c r="C15" s="4"/>
      <x:c r="D15" s="4"/>
      <x:c r="E15" s="4"/>
      <x:c r="F15" s="4"/>
      <x:c r="G15" s="4"/>
      <x:c r="H15" s="4"/>
      <x:c r="I15" s="4"/>
      <x:c r="J15" s="4"/>
      <x:c r="K15" s="4"/>
    </x:row>
    <x:row r="16" spans="2:11" x14ac:dyDescent="0.2"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spans="2:11" x14ac:dyDescent="0.2">
      <x:c r="B17" s="7" t="s">
        <x:v>23</x:v>
      </x:c>
      <x:c r="C17" s="7" t="s">
        <x:v>4</x:v>
      </x:c>
      <x:c r="D17" s="7" t="s">
        <x:v>5</x:v>
      </x:c>
      <x:c r="E17" s="7" t="s">
        <x:v>6</x:v>
      </x:c>
      <x:c r="F17" s="7" t="s">
        <x:v>7</x:v>
      </x:c>
      <x:c r="G17" s="7" t="s">
        <x:v>8</x:v>
      </x:c>
      <x:c r="H17" s="7" t="s">
        <x:v>9</x:v>
      </x:c>
      <x:c r="I17" s="7" t="s">
        <x:v>10</x:v>
      </x:c>
      <x:c r="J17" s="7" t="s">
        <x:v>11</x:v>
      </x:c>
      <x:c r="K17" s="7" t="s">
        <x:v>12</x:v>
      </x:c>
    </x:row>
    <x:row r="18" spans="2:11" x14ac:dyDescent="0.2">
      <x:c r="B18" s="5" t="s">
        <x:v>24</x:v>
      </x:c>
      <x:c r="C18" s="6">
        <x:f>AVERAGE($C$6:$C$12)</x:f>
      </x:c>
      <x:c r="D18" s="6">
        <x:f>AVERAGE($D$6:$D$12)</x:f>
      </x:c>
      <x:c r="E18" s="6">
        <x:f>AVERAGE($E$6:$E$12)</x:f>
      </x:c>
      <x:c r="F18" s="6">
        <x:f>AVERAGE($F$6:$F$12)</x:f>
      </x:c>
      <x:c r="G18" s="6">
        <x:f>AVERAGE($G$6:$G$12)</x:f>
      </x:c>
      <x:c r="H18" s="6">
        <x:f>AVERAGE($H$6:$H$12)</x:f>
      </x:c>
      <x:c r="I18" s="6">
        <x:f>AVERAGE($I$6:$I$12)</x:f>
      </x:c>
      <x:c r="J18" s="6">
        <x:f>AVERAGE($J$6:$J$12)</x:f>
      </x:c>
      <x:c r="K18" s="6">
        <x:f>AVERAGE($K$6:$K$12)</x:f>
      </x:c>
    </x:row>
    <x:row r="19" spans="2:11" x14ac:dyDescent="0.2">
      <x:c r="B19" s="5" t="s">
        <x:v>25</x:v>
      </x:c>
      <x:c r="C19" s="6">
        <x:f>COUNT($C$6:$C$12)</x:f>
      </x:c>
      <x:c r="D19" s="6">
        <x:f>COUNT($D$6:$D$12)</x:f>
      </x:c>
      <x:c r="E19" s="6">
        <x:f>COUNT($E$6:$E$12)</x:f>
      </x:c>
      <x:c r="F19" s="6">
        <x:f>COUNT($F$6:$F$12)</x:f>
      </x:c>
      <x:c r="G19" s="6">
        <x:f>COUNT($G$6:$G$12)</x:f>
      </x:c>
      <x:c r="H19" s="6">
        <x:f>COUNT($H$6:$H$12)</x:f>
      </x:c>
      <x:c r="I19" s="6">
        <x:f>COUNT($I$6:$I$12)</x:f>
      </x:c>
      <x:c r="J19" s="6">
        <x:f>COUNT($J$6:$J$12)</x:f>
      </x:c>
      <x:c r="K19" s="6">
        <x:f>COUNT($K$6:$K$12)</x:f>
      </x:c>
    </x:row>
    <x:row r="20" spans="2:11" x14ac:dyDescent="0.2">
      <x:c r="B20" s="5" t="s">
        <x:v>26</x:v>
      </x:c>
      <x:c r="C20" s="6">
        <x:f>COUNTA($C$6:$C$12)</x:f>
      </x:c>
      <x:c r="D20" s="6">
        <x:f>COUNTA($D$6:$D$12)</x:f>
      </x:c>
      <x:c r="E20" s="6">
        <x:f>COUNTA($E$6:$E$12)</x:f>
      </x:c>
      <x:c r="F20" s="6">
        <x:f>COUNTA($F$6:$F$12)</x:f>
      </x:c>
      <x:c r="G20" s="6">
        <x:f>COUNTA($G$6:$G$12)</x:f>
      </x:c>
      <x:c r="H20" s="6">
        <x:f>COUNTA($H$6:$H$12)</x:f>
      </x:c>
      <x:c r="I20" s="6">
        <x:f>COUNTA($I$6:$I$12)</x:f>
      </x:c>
      <x:c r="J20" s="6">
        <x:f>COUNTA($J$6:$J$12)</x:f>
      </x:c>
      <x:c r="K20" s="6">
        <x:f>COUNTA($K$6:$K$12)</x:f>
      </x:c>
    </x:row>
    <x:row r="21" spans="2:11" x14ac:dyDescent="0.2">
      <x:c r="B21" s="5" t="s">
        <x:v>27</x:v>
      </x:c>
      <x:c r="C21" s="6">
        <x:f>COUNTBLANK($C$6:$C$12)</x:f>
      </x:c>
      <x:c r="D21" s="6">
        <x:f>COUNTBLANK($D$6:$D$12)</x:f>
      </x:c>
      <x:c r="E21" s="6">
        <x:f>COUNTBLANK($E$6:$E$12)</x:f>
      </x:c>
      <x:c r="F21" s="6">
        <x:f>COUNTBLANK($F$6:$F$12)</x:f>
      </x:c>
      <x:c r="G21" s="6">
        <x:f>COUNTBLANK($G$6:$G$12)</x:f>
      </x:c>
      <x:c r="H21" s="6">
        <x:f>COUNTBLANK($H$6:$H$12)</x:f>
      </x:c>
      <x:c r="I21" s="6">
        <x:f>COUNTBLANK($I$6:$I$12)</x:f>
      </x:c>
      <x:c r="J21" s="6">
        <x:f>COUNTBLANK($J$6:$J$12)</x:f>
      </x:c>
      <x:c r="K21" s="6">
        <x:f>COUNTBLANK($K$6:$K$12)</x:f>
      </x:c>
    </x:row>
    <x:row r="22" spans="2:11" x14ac:dyDescent="0.2">
      <x:c r="B22" s="5" t="s">
        <x:v>28</x:v>
      </x:c>
      <x:c r="C22" s="6">
        <x:f>MIN($C$6:$C$12)</x:f>
      </x:c>
      <x:c r="D22" s="6">
        <x:f>MIN($D$6:$D$12)</x:f>
      </x:c>
      <x:c r="E22" s="6">
        <x:f>MIN($E$6:$E$12)</x:f>
      </x:c>
      <x:c r="F22" s="6">
        <x:f>MIN($F$6:$F$12)</x:f>
      </x:c>
      <x:c r="G22" s="6">
        <x:f>MIN($G$6:$G$12)</x:f>
      </x:c>
      <x:c r="H22" s="6">
        <x:f>MIN($H$6:$H$12)</x:f>
      </x:c>
      <x:c r="I22" s="6">
        <x:f>MIN($I$6:$I$12)</x:f>
      </x:c>
      <x:c r="J22" s="6">
        <x:f>MIN($J$6:$J$12)</x:f>
      </x:c>
      <x:c r="K22" s="6">
        <x:f>MIN($K$6:$K$12)</x:f>
      </x:c>
    </x:row>
    <x:row r="23" spans="2:11" x14ac:dyDescent="0.2">
      <x:c r="B23" s="5" t="s">
        <x:v>29</x:v>
      </x:c>
      <x:c r="C23" s="6">
        <x:f>MAX($C$6:$C$12)</x:f>
      </x:c>
      <x:c r="D23" s="6">
        <x:f>MAX($D$6:$D$12)</x:f>
      </x:c>
      <x:c r="E23" s="6">
        <x:f>MAX($E$6:$E$12)</x:f>
      </x:c>
      <x:c r="F23" s="6">
        <x:f>MAX($F$6:$F$12)</x:f>
      </x:c>
      <x:c r="G23" s="6">
        <x:f>MAX($G$6:$G$12)</x:f>
      </x:c>
      <x:c r="H23" s="6">
        <x:f>MAX($H$6:$H$12)</x:f>
      </x:c>
      <x:c r="I23" s="6">
        <x:f>MAX($I$6:$I$12)</x:f>
      </x:c>
      <x:c r="J23" s="6">
        <x:f>MAX($J$6:$J$12)</x:f>
      </x:c>
      <x:c r="K23" s="6">
        <x:f>MAX($K$6:$K$12)</x:f>
      </x:c>
    </x:row>
    <x:row r="24" spans="2:11" x14ac:dyDescent="0.2">
      <x:c r="B24" s="5" t="s">
        <x:v>30</x:v>
      </x:c>
      <x:c r="C24" s="6">
        <x:f>MEDIAN($C$6:$C$12)</x:f>
      </x:c>
      <x:c r="D24" s="6">
        <x:f>MEDIAN($D$6:$D$12)</x:f>
      </x:c>
      <x:c r="E24" s="6">
        <x:f>MEDIAN($E$6:$E$12)</x:f>
      </x:c>
      <x:c r="F24" s="6">
        <x:f>MEDIAN($F$6:$F$12)</x:f>
      </x:c>
      <x:c r="G24" s="6">
        <x:f>MEDIAN($G$6:$G$12)</x:f>
      </x:c>
      <x:c r="H24" s="6">
        <x:f>MEDIAN($H$6:$H$12)</x:f>
      </x:c>
      <x:c r="I24" s="6">
        <x:f>MEDIAN($I$6:$I$12)</x:f>
      </x:c>
      <x:c r="J24" s="6">
        <x:f>MEDIAN($J$6:$J$12)</x:f>
      </x:c>
      <x:c r="K24" s="6">
        <x:f>MEDIAN($K$6:$K$12)</x:f>
      </x:c>
    </x:row>
    <x:row r="25" spans="2:11" x14ac:dyDescent="0.2">
      <x:c r="B25" s="5" t="s">
        <x:v>31</x:v>
      </x:c>
      <x:c r="C25" s="6">
        <x:f>_xlfn.MODE.SNGL($C$6:$C$12)</x:f>
      </x:c>
      <x:c r="D25" s="6">
        <x:f>_xlfn.MODE.SNGL($D$6:$D$12)</x:f>
      </x:c>
      <x:c r="E25" s="6">
        <x:f>_xlfn.MODE.SNGL($E$6:$E$12)</x:f>
      </x:c>
      <x:c r="F25" s="6">
        <x:f>_xlfn.MODE.SNGL($F$6:$F$12)</x:f>
      </x:c>
      <x:c r="G25" s="6">
        <x:f>_xlfn.MODE.SNGL($G$6:$G$12)</x:f>
      </x:c>
      <x:c r="H25" s="6">
        <x:f>_xlfn.MODE.SNGL($H$6:$H$12)</x:f>
      </x:c>
      <x:c r="I25" s="6">
        <x:f>_xlfn.MODE.SNGL($I$6:$I$12)</x:f>
      </x:c>
      <x:c r="J25" s="6">
        <x:f>_xlfn.MODE.SNGL($J$6:$J$12)</x:f>
      </x:c>
      <x:c r="K25" s="6">
        <x:f>_xlfn.MODE.SNGL($K$6:$K$12)</x:f>
      </x:c>
    </x:row>
    <x:row r="26" spans="2:11" x14ac:dyDescent="0.2">
      <x:c r="B26" s="5" t="s">
        <x:v>32</x:v>
      </x:c>
      <x:c r="C26" s="6">
        <x:f>_xlfn.STDEV.S($C$6:$C$12)</x:f>
      </x:c>
      <x:c r="D26" s="6">
        <x:f>_xlfn.STDEV.S($D$6:$D$12)</x:f>
      </x:c>
      <x:c r="E26" s="6">
        <x:f>_xlfn.STDEV.S($E$6:$E$12)</x:f>
      </x:c>
      <x:c r="F26" s="6">
        <x:f>_xlfn.STDEV.S($F$6:$F$12)</x:f>
      </x:c>
      <x:c r="G26" s="6">
        <x:f>_xlfn.STDEV.S($G$6:$G$12)</x:f>
      </x:c>
      <x:c r="H26" s="6">
        <x:f>_xlfn.STDEV.S($H$6:$H$12)</x:f>
      </x:c>
      <x:c r="I26" s="6">
        <x:f>_xlfn.STDEV.S($I$6:$I$12)</x:f>
      </x:c>
      <x:c r="J26" s="6">
        <x:f>_xlfn.STDEV.S($J$6:$J$12)</x:f>
      </x:c>
      <x:c r="K26" s="6">
        <x:f>_xlfn.STDEV.S($K$6:$K$12)</x:f>
      </x:c>
    </x:row>
    <x:row r="27" spans="2:11" x14ac:dyDescent="0.2">
      <x:c r="B27" s="5" t="s">
        <x:v>33</x:v>
      </x:c>
      <x:c r="C27" s="6">
        <x:f>_xlfn.VAR.S($C$6:$C$12)</x:f>
      </x:c>
      <x:c r="D27" s="6">
        <x:f>_xlfn.VAR.S($D$6:$D$12)</x:f>
      </x:c>
      <x:c r="E27" s="6">
        <x:f>_xlfn.VAR.S($E$6:$E$12)</x:f>
      </x:c>
      <x:c r="F27" s="6">
        <x:f>_xlfn.VAR.S($F$6:$F$12)</x:f>
      </x:c>
      <x:c r="G27" s="6">
        <x:f>_xlfn.VAR.S($G$6:$G$12)</x:f>
      </x:c>
      <x:c r="H27" s="6">
        <x:f>_xlfn.VAR.S($H$6:$H$12)</x:f>
      </x:c>
      <x:c r="I27" s="6">
        <x:f>_xlfn.VAR.S($I$6:$I$12)</x:f>
      </x:c>
      <x:c r="J27" s="6">
        <x:f>_xlfn.VAR.S($J$6:$J$12)</x:f>
      </x:c>
      <x:c r="K27" s="6">
        <x:f>_xlfn.VAR.S($K$6:$K$12)</x:f>
      </x:c>
    </x:row>
    <x:row r="30" spans="2:11" x14ac:dyDescent="0.2">
      <x:c r="B30" s="10" t="s">
        <x:v>34</x:v>
      </x:c>
      <x:c r="C30" s="4"/>
      <x:c r="D30" s="4"/>
      <x:c r="E30" s="4"/>
      <x:c r="F30" s="4"/>
      <x:c r="G30" s="4"/>
      <x:c r="H30" s="4"/>
      <x:c r="I30" s="4"/>
      <x:c r="J30" s="4"/>
      <x:c r="K30" s="4"/>
    </x:row>
    <x:row r="31" spans="2:11" x14ac:dyDescent="0.2"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spans="2:11" x14ac:dyDescent="0.2">
      <x:c r="B32" s="7" t="s">
        <x:v>35</x:v>
      </x:c>
      <x:c r="C32" s="7" t="s">
        <x:v>4</x:v>
      </x:c>
      <x:c r="D32" s="7" t="s">
        <x:v>5</x:v>
      </x:c>
      <x:c r="E32" s="7" t="s">
        <x:v>6</x:v>
      </x:c>
      <x:c r="F32" s="7" t="s">
        <x:v>7</x:v>
      </x:c>
      <x:c r="G32" s="7" t="s">
        <x:v>8</x:v>
      </x:c>
      <x:c r="H32" s="7" t="s">
        <x:v>9</x:v>
      </x:c>
      <x:c r="I32" s="7" t="s">
        <x:v>10</x:v>
      </x:c>
      <x:c r="J32" s="7" t="s">
        <x:v>11</x:v>
      </x:c>
      <x:c r="K32" s="7" t="s">
        <x:v>12</x:v>
      </x:c>
    </x:row>
    <x:row r="33" spans="2:11" x14ac:dyDescent="0.2">
      <x:c r="B33" s="5">
        <x:v>0</x:v>
      </x:c>
      <x:c r="C33" s="6">
        <x:f>_xlfn.PERCENTILE.INC($C$6:$C$12,0)</x:f>
      </x:c>
      <x:c r="D33" s="6">
        <x:f>_xlfn.PERCENTILE.INC($D$6:$D$12,0)</x:f>
      </x:c>
      <x:c r="E33" s="6">
        <x:f>_xlfn.PERCENTILE.INC($E$6:$E$12,0)</x:f>
      </x:c>
      <x:c r="F33" s="6">
        <x:f>_xlfn.PERCENTILE.INC($F$6:$F$12,0)</x:f>
      </x:c>
      <x:c r="G33" s="6">
        <x:f>_xlfn.PERCENTILE.INC($G$6:$G$12,0)</x:f>
      </x:c>
      <x:c r="H33" s="6">
        <x:f>_xlfn.PERCENTILE.INC($H$6:$H$12,0)</x:f>
      </x:c>
      <x:c r="I33" s="6">
        <x:f>_xlfn.PERCENTILE.INC($I$6:$I$12,0)</x:f>
      </x:c>
      <x:c r="J33" s="6">
        <x:f>_xlfn.PERCENTILE.INC($J$6:$J$12,0)</x:f>
      </x:c>
      <x:c r="K33" s="6">
        <x:f>_xlfn.PERCENTILE.INC($K$6:$K$12,0)</x:f>
      </x:c>
    </x:row>
    <x:row r="34" spans="2:11" x14ac:dyDescent="0.2">
      <x:c r="B34" s="5">
        <x:v>0.1</x:v>
      </x:c>
      <x:c r="C34" s="6">
        <x:f>_xlfn.PERCENTILE.INC($C$6:$C$12,0.1)</x:f>
      </x:c>
      <x:c r="D34" s="6">
        <x:f>_xlfn.PERCENTILE.INC($D$6:$D$12,0.1)</x:f>
      </x:c>
      <x:c r="E34" s="6">
        <x:f>_xlfn.PERCENTILE.INC($E$6:$E$12,0.1)</x:f>
      </x:c>
      <x:c r="F34" s="6">
        <x:f>_xlfn.PERCENTILE.INC($F$6:$F$12,0.1)</x:f>
      </x:c>
      <x:c r="G34" s="6">
        <x:f>_xlfn.PERCENTILE.INC($G$6:$G$12,0.1)</x:f>
      </x:c>
      <x:c r="H34" s="6">
        <x:f>_xlfn.PERCENTILE.INC($H$6:$H$12,0.1)</x:f>
      </x:c>
      <x:c r="I34" s="6">
        <x:f>_xlfn.PERCENTILE.INC($I$6:$I$12,0.1)</x:f>
      </x:c>
      <x:c r="J34" s="6">
        <x:f>_xlfn.PERCENTILE.INC($J$6:$J$12,0.1)</x:f>
      </x:c>
      <x:c r="K34" s="6">
        <x:f>_xlfn.PERCENTILE.INC($K$6:$K$12,0.1)</x:f>
      </x:c>
    </x:row>
    <x:row r="35" spans="2:11" x14ac:dyDescent="0.2">
      <x:c r="B35" s="5">
        <x:v>0.25</x:v>
      </x:c>
      <x:c r="C35" s="6">
        <x:f>_xlfn.PERCENTILE.INC($C$6:$C$12,0.25)</x:f>
      </x:c>
      <x:c r="D35" s="6">
        <x:f>_xlfn.PERCENTILE.INC($D$6:$D$12,0.25)</x:f>
      </x:c>
      <x:c r="E35" s="6">
        <x:f>_xlfn.PERCENTILE.INC($E$6:$E$12,0.25)</x:f>
      </x:c>
      <x:c r="F35" s="6">
        <x:f>_xlfn.PERCENTILE.INC($F$6:$F$12,0.25)</x:f>
      </x:c>
      <x:c r="G35" s="6">
        <x:f>_xlfn.PERCENTILE.INC($G$6:$G$12,0.25)</x:f>
      </x:c>
      <x:c r="H35" s="6">
        <x:f>_xlfn.PERCENTILE.INC($H$6:$H$12,0.25)</x:f>
      </x:c>
      <x:c r="I35" s="6">
        <x:f>_xlfn.PERCENTILE.INC($I$6:$I$12,0.25)</x:f>
      </x:c>
      <x:c r="J35" s="6">
        <x:f>_xlfn.PERCENTILE.INC($J$6:$J$12,0.25)</x:f>
      </x:c>
      <x:c r="K35" s="6">
        <x:f>_xlfn.PERCENTILE.INC($K$6:$K$12,0.25)</x:f>
      </x:c>
    </x:row>
    <x:row r="36" spans="2:11" x14ac:dyDescent="0.2">
      <x:c r="B36" s="5">
        <x:v>0.5</x:v>
      </x:c>
      <x:c r="C36" s="6">
        <x:f>_xlfn.PERCENTILE.INC($C$6:$C$12,0.5)</x:f>
      </x:c>
      <x:c r="D36" s="6">
        <x:f>_xlfn.PERCENTILE.INC($D$6:$D$12,0.5)</x:f>
      </x:c>
      <x:c r="E36" s="6">
        <x:f>_xlfn.PERCENTILE.INC($E$6:$E$12,0.5)</x:f>
      </x:c>
      <x:c r="F36" s="6">
        <x:f>_xlfn.PERCENTILE.INC($F$6:$F$12,0.5)</x:f>
      </x:c>
      <x:c r="G36" s="6">
        <x:f>_xlfn.PERCENTILE.INC($G$6:$G$12,0.5)</x:f>
      </x:c>
      <x:c r="H36" s="6">
        <x:f>_xlfn.PERCENTILE.INC($H$6:$H$12,0.5)</x:f>
      </x:c>
      <x:c r="I36" s="6">
        <x:f>_xlfn.PERCENTILE.INC($I$6:$I$12,0.5)</x:f>
      </x:c>
      <x:c r="J36" s="6">
        <x:f>_xlfn.PERCENTILE.INC($J$6:$J$12,0.5)</x:f>
      </x:c>
      <x:c r="K36" s="6">
        <x:f>_xlfn.PERCENTILE.INC($K$6:$K$12,0.5)</x:f>
      </x:c>
    </x:row>
    <x:row r="37" spans="2:11" x14ac:dyDescent="0.2">
      <x:c r="B37" s="5">
        <x:v>0.75</x:v>
      </x:c>
      <x:c r="C37" s="6">
        <x:f>_xlfn.PERCENTILE.INC($C$6:$C$12,0.75)</x:f>
      </x:c>
      <x:c r="D37" s="6">
        <x:f>_xlfn.PERCENTILE.INC($D$6:$D$12,0.75)</x:f>
      </x:c>
      <x:c r="E37" s="6">
        <x:f>_xlfn.PERCENTILE.INC($E$6:$E$12,0.75)</x:f>
      </x:c>
      <x:c r="F37" s="6">
        <x:f>_xlfn.PERCENTILE.INC($F$6:$F$12,0.75)</x:f>
      </x:c>
      <x:c r="G37" s="6">
        <x:f>_xlfn.PERCENTILE.INC($G$6:$G$12,0.75)</x:f>
      </x:c>
      <x:c r="H37" s="6">
        <x:f>_xlfn.PERCENTILE.INC($H$6:$H$12,0.75)</x:f>
      </x:c>
      <x:c r="I37" s="6">
        <x:f>_xlfn.PERCENTILE.INC($I$6:$I$12,0.75)</x:f>
      </x:c>
      <x:c r="J37" s="6">
        <x:f>_xlfn.PERCENTILE.INC($J$6:$J$12,0.75)</x:f>
      </x:c>
      <x:c r="K37" s="6">
        <x:f>_xlfn.PERCENTILE.INC($K$6:$K$12,0.75)</x:f>
      </x:c>
    </x:row>
    <x:row r="38" spans="2:11" x14ac:dyDescent="0.2">
      <x:c r="B38" s="5">
        <x:v>0.9</x:v>
      </x:c>
      <x:c r="C38" s="6">
        <x:f>_xlfn.PERCENTILE.INC($C$6:$C$12,0.9)</x:f>
      </x:c>
      <x:c r="D38" s="6">
        <x:f>_xlfn.PERCENTILE.INC($D$6:$D$12,0.9)</x:f>
      </x:c>
      <x:c r="E38" s="6">
        <x:f>_xlfn.PERCENTILE.INC($E$6:$E$12,0.9)</x:f>
      </x:c>
      <x:c r="F38" s="6">
        <x:f>_xlfn.PERCENTILE.INC($F$6:$F$12,0.9)</x:f>
      </x:c>
      <x:c r="G38" s="6">
        <x:f>_xlfn.PERCENTILE.INC($G$6:$G$12,0.9)</x:f>
      </x:c>
      <x:c r="H38" s="6">
        <x:f>_xlfn.PERCENTILE.INC($H$6:$H$12,0.9)</x:f>
      </x:c>
      <x:c r="I38" s="6">
        <x:f>_xlfn.PERCENTILE.INC($I$6:$I$12,0.9)</x:f>
      </x:c>
      <x:c r="J38" s="6">
        <x:f>_xlfn.PERCENTILE.INC($J$6:$J$12,0.9)</x:f>
      </x:c>
      <x:c r="K38" s="6">
        <x:f>_xlfn.PERCENTILE.INC($K$6:$K$12,0.9)</x:f>
      </x:c>
    </x:row>
    <x:row r="39" spans="2:11" x14ac:dyDescent="0.2">
      <x:c r="B39" s="5">
        <x:v>1</x:v>
      </x:c>
      <x:c r="C39" s="6">
        <x:f>_xlfn.PERCENTILE.INC($C$6:$C$12,1)</x:f>
      </x:c>
      <x:c r="D39" s="6">
        <x:f>_xlfn.PERCENTILE.INC($D$6:$D$12,1)</x:f>
      </x:c>
      <x:c r="E39" s="6">
        <x:f>_xlfn.PERCENTILE.INC($E$6:$E$12,1)</x:f>
      </x:c>
      <x:c r="F39" s="6">
        <x:f>_xlfn.PERCENTILE.INC($F$6:$F$12,1)</x:f>
      </x:c>
      <x:c r="G39" s="6">
        <x:f>_xlfn.PERCENTILE.INC($G$6:$G$12,1)</x:f>
      </x:c>
      <x:c r="H39" s="6">
        <x:f>_xlfn.PERCENTILE.INC($H$6:$H$12,1)</x:f>
      </x:c>
      <x:c r="I39" s="6">
        <x:f>_xlfn.PERCENTILE.INC($I$6:$I$12,1)</x:f>
      </x:c>
      <x:c r="J39" s="6">
        <x:f>_xlfn.PERCENTILE.INC($J$6:$J$12,1)</x:f>
      </x:c>
      <x:c r="K39" s="6">
        <x:f>_xlfn.PERCENTILE.INC($K$6:$K$12,1)</x:f>
      </x:c>
    </x:row>
    <x:row r="42" spans="2:11" x14ac:dyDescent="0.2">
      <x:c r="B42" s="4" t="s">
        <x:v>36</x:v>
      </x:c>
      <x:c r="C42" s="4"/>
      <x:c r="D42" s="4"/>
      <x:c r="E42" s="4"/>
      <x:c r="F42" s="4"/>
      <x:c r="G42" s="4"/>
      <x:c r="H42" s="4"/>
      <x:c r="I42" s="4"/>
      <x:c r="J42" s="4"/>
      <x:c r="K42" s="4"/>
    </x:row>
    <x:row r="43" spans="2:11" x14ac:dyDescent="0.2"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 spans="2:11" x14ac:dyDescent="0.2">
      <x:c r="B44" s="7" t="s">
        <x:v>37</x:v>
      </x:c>
      <x:c r="C44" s="7" t="s">
        <x:v>4</x:v>
      </x:c>
      <x:c r="D44" s="7" t="s">
        <x:v>5</x:v>
      </x:c>
      <x:c r="E44" s="7" t="s">
        <x:v>6</x:v>
      </x:c>
      <x:c r="F44" s="7" t="s">
        <x:v>7</x:v>
      </x:c>
      <x:c r="G44" s="7" t="s">
        <x:v>8</x:v>
      </x:c>
      <x:c r="H44" s="7" t="s">
        <x:v>9</x:v>
      </x:c>
      <x:c r="I44" s="7" t="s">
        <x:v>10</x:v>
      </x:c>
      <x:c r="J44" s="7" t="s">
        <x:v>11</x:v>
      </x:c>
      <x:c r="K44" s="7" t="s">
        <x:v>12</x:v>
      </x:c>
    </x:row>
    <x:row r="45" spans="2:11" x14ac:dyDescent="0.2">
      <x:c r="B45" s="5" t="s">
        <x:v>38</x:v>
      </x:c>
      <x:c r="C45" s="6">
        <x:f>_xlfn.QUARTILE.INC($C$6:$C$12,0)</x:f>
      </x:c>
      <x:c r="D45" s="6">
        <x:f>_xlfn.QUARTILE.INC($D$6:$D$12,0)</x:f>
      </x:c>
      <x:c r="E45" s="6">
        <x:f>_xlfn.QUARTILE.INC($E$6:$E$12,0)</x:f>
      </x:c>
      <x:c r="F45" s="6">
        <x:f>_xlfn.QUARTILE.INC($F$6:$F$12,0)</x:f>
      </x:c>
      <x:c r="G45" s="6">
        <x:f>_xlfn.QUARTILE.INC($G$6:$G$12,0)</x:f>
      </x:c>
      <x:c r="H45" s="6">
        <x:f>_xlfn.QUARTILE.INC($H$6:$H$12,0)</x:f>
      </x:c>
      <x:c r="I45" s="6">
        <x:f>_xlfn.QUARTILE.INC($I$6:$I$12,0)</x:f>
      </x:c>
      <x:c r="J45" s="6">
        <x:f>_xlfn.QUARTILE.INC($J$6:$J$12,0)</x:f>
      </x:c>
      <x:c r="K45" s="6">
        <x:f>_xlfn.QUARTILE.INC($K$6:$K$12,0)</x:f>
      </x:c>
    </x:row>
    <x:row r="46" spans="2:11" x14ac:dyDescent="0.2">
      <x:c r="B46" s="5" t="s">
        <x:v>39</x:v>
      </x:c>
      <x:c r="C46" s="6">
        <x:f>_xlfn.QUARTILE.INC($C$6:$C$12,1)</x:f>
      </x:c>
      <x:c r="D46" s="6">
        <x:f>_xlfn.QUARTILE.INC($D$6:$D$12,1)</x:f>
      </x:c>
      <x:c r="E46" s="6">
        <x:f>_xlfn.QUARTILE.INC($E$6:$E$12,1)</x:f>
      </x:c>
      <x:c r="F46" s="6">
        <x:f>_xlfn.QUARTILE.INC($F$6:$F$12,1)</x:f>
      </x:c>
      <x:c r="G46" s="6">
        <x:f>_xlfn.QUARTILE.INC($G$6:$G$12,1)</x:f>
      </x:c>
      <x:c r="H46" s="6">
        <x:f>_xlfn.QUARTILE.INC($H$6:$H$12,1)</x:f>
      </x:c>
      <x:c r="I46" s="6">
        <x:f>_xlfn.QUARTILE.INC($I$6:$I$12,1)</x:f>
      </x:c>
      <x:c r="J46" s="6">
        <x:f>_xlfn.QUARTILE.INC($J$6:$J$12,1)</x:f>
      </x:c>
      <x:c r="K46" s="6">
        <x:f>_xlfn.QUARTILE.INC($K$6:$K$12,1)</x:f>
      </x:c>
    </x:row>
    <x:row r="47" spans="2:11" x14ac:dyDescent="0.2">
      <x:c r="B47" s="5" t="s">
        <x:v>40</x:v>
      </x:c>
      <x:c r="C47" s="6">
        <x:f>_xlfn.QUARTILE.INC($C$6:$C$12,2)</x:f>
      </x:c>
      <x:c r="D47" s="6">
        <x:f>_xlfn.QUARTILE.INC($D$6:$D$12,2)</x:f>
      </x:c>
      <x:c r="E47" s="6">
        <x:f>_xlfn.QUARTILE.INC($E$6:$E$12,2)</x:f>
      </x:c>
      <x:c r="F47" s="6">
        <x:f>_xlfn.QUARTILE.INC($F$6:$F$12,2)</x:f>
      </x:c>
      <x:c r="G47" s="6">
        <x:f>_xlfn.QUARTILE.INC($G$6:$G$12,2)</x:f>
      </x:c>
      <x:c r="H47" s="6">
        <x:f>_xlfn.QUARTILE.INC($H$6:$H$12,2)</x:f>
      </x:c>
      <x:c r="I47" s="6">
        <x:f>_xlfn.QUARTILE.INC($I$6:$I$12,2)</x:f>
      </x:c>
      <x:c r="J47" s="6">
        <x:f>_xlfn.QUARTILE.INC($J$6:$J$12,2)</x:f>
      </x:c>
      <x:c r="K47" s="6">
        <x:f>_xlfn.QUARTILE.INC($K$6:$K$12,2)</x:f>
      </x:c>
    </x:row>
    <x:row r="48" spans="2:11" x14ac:dyDescent="0.2">
      <x:c r="B48" s="5" t="s">
        <x:v>41</x:v>
      </x:c>
      <x:c r="C48" s="6">
        <x:f>_xlfn.QUARTILE.INC($C$6:$C$12,3)</x:f>
      </x:c>
      <x:c r="D48" s="6">
        <x:f>_xlfn.QUARTILE.INC($D$6:$D$12,3)</x:f>
      </x:c>
      <x:c r="E48" s="6">
        <x:f>_xlfn.QUARTILE.INC($E$6:$E$12,3)</x:f>
      </x:c>
      <x:c r="F48" s="6">
        <x:f>_xlfn.QUARTILE.INC($F$6:$F$12,3)</x:f>
      </x:c>
      <x:c r="G48" s="6">
        <x:f>_xlfn.QUARTILE.INC($G$6:$G$12,3)</x:f>
      </x:c>
      <x:c r="H48" s="6">
        <x:f>_xlfn.QUARTILE.INC($H$6:$H$12,3)</x:f>
      </x:c>
      <x:c r="I48" s="6">
        <x:f>_xlfn.QUARTILE.INC($I$6:$I$12,3)</x:f>
      </x:c>
      <x:c r="J48" s="6">
        <x:f>_xlfn.QUARTILE.INC($J$6:$J$12,3)</x:f>
      </x:c>
      <x:c r="K48" s="6">
        <x:f>_xlfn.QUARTILE.INC($K$6:$K$12,3)</x:f>
      </x:c>
    </x:row>
    <x:row r="49" spans="2:11" x14ac:dyDescent="0.2">
      <x:c r="B49" s="5" t="s">
        <x:v>42</x:v>
      </x:c>
      <x:c r="C49" s="6">
        <x:f>_xlfn.QUARTILE.INC($C$6:$C$12,4)</x:f>
      </x:c>
      <x:c r="D49" s="6">
        <x:f>_xlfn.QUARTILE.INC($D$6:$D$12,4)</x:f>
      </x:c>
      <x:c r="E49" s="6">
        <x:f>_xlfn.QUARTILE.INC($E$6:$E$12,4)</x:f>
      </x:c>
      <x:c r="F49" s="6">
        <x:f>_xlfn.QUARTILE.INC($F$6:$F$12,4)</x:f>
      </x:c>
      <x:c r="G49" s="6">
        <x:f>_xlfn.QUARTILE.INC($G$6:$G$12,4)</x:f>
      </x:c>
      <x:c r="H49" s="6">
        <x:f>_xlfn.QUARTILE.INC($H$6:$H$12,4)</x:f>
      </x:c>
      <x:c r="I49" s="6">
        <x:f>_xlfn.QUARTILE.INC($I$6:$I$12,4)</x:f>
      </x:c>
      <x:c r="J49" s="6">
        <x:f>_xlfn.QUARTILE.INC($J$6:$J$12,4)</x:f>
      </x:c>
      <x:c r="K49" s="6">
        <x:f>_xlfn.QUARTILE.INC($K$6:$K$12,4)</x:f>
      </x:c>
    </x:row>
    <x:row r="52" spans="2:11" x14ac:dyDescent="0.2">
      <x:c r="B52" s="10" t="s">
        <x:v>43</x:v>
      </x:c>
      <x:c r="C52" s="4"/>
      <x:c r="D52" s="4"/>
      <x:c r="E52" s="4"/>
      <x:c r="F52" s="4"/>
      <x:c r="G52" s="4"/>
      <x:c r="H52" s="4"/>
      <x:c r="I52" s="4"/>
      <x:c r="J52" s="4"/>
      <x:c r="K52" s="4"/>
    </x:row>
    <x:row r="53" spans="2:11" x14ac:dyDescent="0.2"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 spans="2:11" x14ac:dyDescent="0.2">
      <x:c r="B54" s="7" t="s">
        <x:v>35</x:v>
      </x:c>
      <x:c r="C54" s="7" t="s">
        <x:v>4</x:v>
      </x:c>
      <x:c r="D54" s="7" t="s">
        <x:v>5</x:v>
      </x:c>
      <x:c r="E54" s="7" t="s">
        <x:v>6</x:v>
      </x:c>
      <x:c r="F54" s="7" t="s">
        <x:v>7</x:v>
      </x:c>
      <x:c r="G54" s="7" t="s">
        <x:v>8</x:v>
      </x:c>
      <x:c r="H54" s="7" t="s">
        <x:v>9</x:v>
      </x:c>
      <x:c r="I54" s="7" t="s">
        <x:v>10</x:v>
      </x:c>
      <x:c r="J54" s="7" t="s">
        <x:v>11</x:v>
      </x:c>
      <x:c r="K54" s="7" t="s">
        <x:v>12</x:v>
      </x:c>
    </x:row>
    <x:row r="55" spans="2:11" x14ac:dyDescent="0.2">
      <x:c r="B55" s="5">
        <x:v>1</x:v>
      </x:c>
      <x:c r="C55" s="6">
        <x:f>LARGE($C$6:$C$12,1)</x:f>
      </x:c>
      <x:c r="D55" s="6">
        <x:f>LARGE($D$6:$D$12,1)</x:f>
      </x:c>
      <x:c r="E55" s="6">
        <x:f>LARGE($E$6:$E$12,1)</x:f>
      </x:c>
      <x:c r="F55" s="6">
        <x:f>LARGE($F$6:$F$12,1)</x:f>
      </x:c>
      <x:c r="G55" s="6">
        <x:f>LARGE($G$6:$G$12,1)</x:f>
      </x:c>
      <x:c r="H55" s="6">
        <x:f>LARGE($H$6:$H$12,1)</x:f>
      </x:c>
      <x:c r="I55" s="6">
        <x:f>LARGE($I$6:$I$12,1)</x:f>
      </x:c>
      <x:c r="J55" s="6">
        <x:f>LARGE($J$6:$J$12,1)</x:f>
      </x:c>
      <x:c r="K55" s="6">
        <x:f>LARGE($K$6:$K$12,1)</x:f>
      </x:c>
    </x:row>
    <x:row r="56" spans="2:11" x14ac:dyDescent="0.2">
      <x:c r="B56" s="5">
        <x:v>2</x:v>
      </x:c>
      <x:c r="C56" s="6">
        <x:f>LARGE($C$6:$C$12,2)</x:f>
      </x:c>
      <x:c r="D56" s="6">
        <x:f>LARGE($D$6:$D$12,2)</x:f>
      </x:c>
      <x:c r="E56" s="6">
        <x:f>LARGE($E$6:$E$12,2)</x:f>
      </x:c>
      <x:c r="F56" s="6">
        <x:f>LARGE($F$6:$F$12,2)</x:f>
      </x:c>
      <x:c r="G56" s="6">
        <x:f>LARGE($G$6:$G$12,2)</x:f>
      </x:c>
      <x:c r="H56" s="6">
        <x:f>LARGE($H$6:$H$12,2)</x:f>
      </x:c>
      <x:c r="I56" s="6">
        <x:f>LARGE($I$6:$I$12,2)</x:f>
      </x:c>
      <x:c r="J56" s="6">
        <x:f>LARGE($J$6:$J$12,2)</x:f>
      </x:c>
      <x:c r="K56" s="6">
        <x:f>LARGE($K$6:$K$12,2)</x:f>
      </x:c>
    </x:row>
    <x:row r="57" spans="2:11" x14ac:dyDescent="0.2">
      <x:c r="B57" s="5">
        <x:v>3</x:v>
      </x:c>
      <x:c r="C57" s="6">
        <x:f>LARGE($C$6:$C$12,3)</x:f>
      </x:c>
      <x:c r="D57" s="6">
        <x:f>LARGE($D$6:$D$12,3)</x:f>
      </x:c>
      <x:c r="E57" s="6">
        <x:f>LARGE($E$6:$E$12,3)</x:f>
      </x:c>
      <x:c r="F57" s="6">
        <x:f>LARGE($F$6:$F$12,3)</x:f>
      </x:c>
      <x:c r="G57" s="6">
        <x:f>LARGE($G$6:$G$12,3)</x:f>
      </x:c>
      <x:c r="H57" s="6">
        <x:f>LARGE($H$6:$H$12,3)</x:f>
      </x:c>
      <x:c r="I57" s="6">
        <x:f>LARGE($I$6:$I$12,3)</x:f>
      </x:c>
      <x:c r="J57" s="6">
        <x:f>LARGE($J$6:$J$12,3)</x:f>
      </x:c>
      <x:c r="K57" s="6">
        <x:f>LARGE($K$6:$K$12,3)</x:f>
      </x:c>
    </x:row>
    <x:row r="58" spans="2:11" x14ac:dyDescent="0.2">
      <x:c r="B58" s="5">
        <x:v>4</x:v>
      </x:c>
      <x:c r="C58" s="6">
        <x:f>LARGE($C$6:$C$12,4)</x:f>
      </x:c>
      <x:c r="D58" s="6">
        <x:f>LARGE($D$6:$D$12,4)</x:f>
      </x:c>
      <x:c r="E58" s="6">
        <x:f>LARGE($E$6:$E$12,4)</x:f>
      </x:c>
      <x:c r="F58" s="6">
        <x:f>LARGE($F$6:$F$12,4)</x:f>
      </x:c>
      <x:c r="G58" s="6">
        <x:f>LARGE($G$6:$G$12,4)</x:f>
      </x:c>
      <x:c r="H58" s="6">
        <x:f>LARGE($H$6:$H$12,4)</x:f>
      </x:c>
      <x:c r="I58" s="6">
        <x:f>LARGE($I$6:$I$12,4)</x:f>
      </x:c>
      <x:c r="J58" s="6">
        <x:f>LARGE($J$6:$J$12,4)</x:f>
      </x:c>
      <x:c r="K58" s="6">
        <x:f>LARGE($K$6:$K$12,4)</x:f>
      </x:c>
    </x:row>
    <x:row r="59" spans="2:11" x14ac:dyDescent="0.2">
      <x:c r="B59" s="5">
        <x:v>5</x:v>
      </x:c>
      <x:c r="C59" s="6">
        <x:f>LARGE($C$6:$C$12,5)</x:f>
      </x:c>
      <x:c r="D59" s="6">
        <x:f>LARGE($D$6:$D$12,5)</x:f>
      </x:c>
      <x:c r="E59" s="6">
        <x:f>LARGE($E$6:$E$12,5)</x:f>
      </x:c>
      <x:c r="F59" s="6">
        <x:f>LARGE($F$6:$F$12,5)</x:f>
      </x:c>
      <x:c r="G59" s="6">
        <x:f>LARGE($G$6:$G$12,5)</x:f>
      </x:c>
      <x:c r="H59" s="6">
        <x:f>LARGE($H$6:$H$12,5)</x:f>
      </x:c>
      <x:c r="I59" s="6">
        <x:f>LARGE($I$6:$I$12,5)</x:f>
      </x:c>
      <x:c r="J59" s="6">
        <x:f>LARGE($J$6:$J$12,5)</x:f>
      </x:c>
      <x:c r="K59" s="6">
        <x:f>LARGE($K$6:$K$12,5)</x:f>
      </x:c>
    </x:row>
    <x:row r="60" spans="2:11" x14ac:dyDescent="0.2">
      <x:c r="B60" s="5">
        <x:v>6</x:v>
      </x:c>
      <x:c r="C60" s="6">
        <x:f>LARGE($C$6:$C$12,6)</x:f>
      </x:c>
      <x:c r="D60" s="6">
        <x:f>LARGE($D$6:$D$12,6)</x:f>
      </x:c>
      <x:c r="E60" s="6">
        <x:f>LARGE($E$6:$E$12,6)</x:f>
      </x:c>
      <x:c r="F60" s="6">
        <x:f>LARGE($F$6:$F$12,6)</x:f>
      </x:c>
      <x:c r="G60" s="6">
        <x:f>LARGE($G$6:$G$12,6)</x:f>
      </x:c>
      <x:c r="H60" s="6">
        <x:f>LARGE($H$6:$H$12,6)</x:f>
      </x:c>
      <x:c r="I60" s="6">
        <x:f>LARGE($I$6:$I$12,6)</x:f>
      </x:c>
      <x:c r="J60" s="6">
        <x:f>LARGE($J$6:$J$12,6)</x:f>
      </x:c>
      <x:c r="K60" s="6">
        <x:f>LARGE($K$6:$K$12,6)</x:f>
      </x:c>
    </x:row>
    <x:row r="61" spans="2:11" x14ac:dyDescent="0.2">
      <x:c r="B61" s="5">
        <x:v>7</x:v>
      </x:c>
      <x:c r="C61" s="6">
        <x:f>LARGE($C$6:$C$12,7)</x:f>
      </x:c>
      <x:c r="D61" s="6">
        <x:f>LARGE($D$6:$D$12,7)</x:f>
      </x:c>
      <x:c r="E61" s="6">
        <x:f>LARGE($E$6:$E$12,7)</x:f>
      </x:c>
      <x:c r="F61" s="6">
        <x:f>LARGE($F$6:$F$12,7)</x:f>
      </x:c>
      <x:c r="G61" s="6">
        <x:f>LARGE($G$6:$G$12,7)</x:f>
      </x:c>
      <x:c r="H61" s="6">
        <x:f>LARGE($H$6:$H$12,7)</x:f>
      </x:c>
      <x:c r="I61" s="6">
        <x:f>LARGE($I$6:$I$12,7)</x:f>
      </x:c>
      <x:c r="J61" s="6">
        <x:f>LARGE($J$6:$J$12,7)</x:f>
      </x:c>
      <x:c r="K61" s="6">
        <x:f>LARGE($K$6:$K$12,7)</x:f>
      </x:c>
    </x:row>
    <x:row r="64" spans="2:11" x14ac:dyDescent="0.2">
      <x:c r="B64" s="4" t="s">
        <x:v>44</x:v>
      </x:c>
      <x:c r="C64" s="4"/>
      <x:c r="D64" s="4"/>
      <x:c r="E64" s="4"/>
      <x:c r="F64" s="4"/>
      <x:c r="G64" s="4"/>
      <x:c r="H64" s="4"/>
      <x:c r="I64" s="4"/>
      <x:c r="J64" s="4"/>
      <x:c r="K64" s="4"/>
    </x:row>
    <x:row r="65" spans="2:11" x14ac:dyDescent="0.2"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 spans="2:11" x14ac:dyDescent="0.2">
      <x:c r="B66" s="7" t="s">
        <x:v>35</x:v>
      </x:c>
      <x:c r="C66" s="7" t="s">
        <x:v>4</x:v>
      </x:c>
      <x:c r="D66" s="7" t="s">
        <x:v>5</x:v>
      </x:c>
      <x:c r="E66" s="7" t="s">
        <x:v>6</x:v>
      </x:c>
      <x:c r="F66" s="7" t="s">
        <x:v>7</x:v>
      </x:c>
      <x:c r="G66" s="7" t="s">
        <x:v>8</x:v>
      </x:c>
      <x:c r="H66" s="7" t="s">
        <x:v>9</x:v>
      </x:c>
      <x:c r="I66" s="7" t="s">
        <x:v>10</x:v>
      </x:c>
      <x:c r="J66" s="7" t="s">
        <x:v>11</x:v>
      </x:c>
      <x:c r="K66" s="7" t="s">
        <x:v>12</x:v>
      </x:c>
    </x:row>
    <x:row r="67" spans="2:11" x14ac:dyDescent="0.2">
      <x:c r="B67" s="5">
        <x:v>1</x:v>
      </x:c>
      <x:c r="C67" s="6">
        <x:f>SMALL($C$6:$C$12,1)</x:f>
      </x:c>
      <x:c r="D67" s="6">
        <x:f>SMALL($D$6:$D$12,1)</x:f>
      </x:c>
      <x:c r="E67" s="6">
        <x:f>SMALL($E$6:$E$12,1)</x:f>
      </x:c>
      <x:c r="F67" s="6">
        <x:f>SMALL($F$6:$F$12,1)</x:f>
      </x:c>
      <x:c r="G67" s="6">
        <x:f>SMALL($G$6:$G$12,1)</x:f>
      </x:c>
      <x:c r="H67" s="6">
        <x:f>SMALL($H$6:$H$12,1)</x:f>
      </x:c>
      <x:c r="I67" s="6">
        <x:f>SMALL($I$6:$I$12,1)</x:f>
      </x:c>
      <x:c r="J67" s="6">
        <x:f>SMALL($J$6:$J$12,1)</x:f>
      </x:c>
      <x:c r="K67" s="6">
        <x:f>SMALL($K$6:$K$12,1)</x:f>
      </x:c>
    </x:row>
    <x:row r="68" spans="2:11" x14ac:dyDescent="0.2">
      <x:c r="B68" s="5">
        <x:v>2</x:v>
      </x:c>
      <x:c r="C68" s="6">
        <x:f>SMALL($C$6:$C$12,2)</x:f>
      </x:c>
      <x:c r="D68" s="6">
        <x:f>SMALL($D$6:$D$12,2)</x:f>
      </x:c>
      <x:c r="E68" s="6">
        <x:f>SMALL($E$6:$E$12,2)</x:f>
      </x:c>
      <x:c r="F68" s="6">
        <x:f>SMALL($F$6:$F$12,2)</x:f>
      </x:c>
      <x:c r="G68" s="6">
        <x:f>SMALL($G$6:$G$12,2)</x:f>
      </x:c>
      <x:c r="H68" s="6">
        <x:f>SMALL($H$6:$H$12,2)</x:f>
      </x:c>
      <x:c r="I68" s="6">
        <x:f>SMALL($I$6:$I$12,2)</x:f>
      </x:c>
      <x:c r="J68" s="6">
        <x:f>SMALL($J$6:$J$12,2)</x:f>
      </x:c>
      <x:c r="K68" s="6">
        <x:f>SMALL($K$6:$K$12,2)</x:f>
      </x:c>
    </x:row>
    <x:row r="69" spans="2:11" x14ac:dyDescent="0.2">
      <x:c r="B69" s="5">
        <x:v>3</x:v>
      </x:c>
      <x:c r="C69" s="6">
        <x:f>SMALL($C$6:$C$12,3)</x:f>
      </x:c>
      <x:c r="D69" s="6">
        <x:f>SMALL($D$6:$D$12,3)</x:f>
      </x:c>
      <x:c r="E69" s="6">
        <x:f>SMALL($E$6:$E$12,3)</x:f>
      </x:c>
      <x:c r="F69" s="6">
        <x:f>SMALL($F$6:$F$12,3)</x:f>
      </x:c>
      <x:c r="G69" s="6">
        <x:f>SMALL($G$6:$G$12,3)</x:f>
      </x:c>
      <x:c r="H69" s="6">
        <x:f>SMALL($H$6:$H$12,3)</x:f>
      </x:c>
      <x:c r="I69" s="6">
        <x:f>SMALL($I$6:$I$12,3)</x:f>
      </x:c>
      <x:c r="J69" s="6">
        <x:f>SMALL($J$6:$J$12,3)</x:f>
      </x:c>
      <x:c r="K69" s="6">
        <x:f>SMALL($K$6:$K$12,3)</x:f>
      </x:c>
    </x:row>
    <x:row r="70" spans="2:11" x14ac:dyDescent="0.2">
      <x:c r="B70" s="5">
        <x:v>4</x:v>
      </x:c>
      <x:c r="C70" s="6">
        <x:f>SMALL($C$6:$C$12,4)</x:f>
      </x:c>
      <x:c r="D70" s="6">
        <x:f>SMALL($D$6:$D$12,4)</x:f>
      </x:c>
      <x:c r="E70" s="6">
        <x:f>SMALL($E$6:$E$12,4)</x:f>
      </x:c>
      <x:c r="F70" s="6">
        <x:f>SMALL($F$6:$F$12,4)</x:f>
      </x:c>
      <x:c r="G70" s="6">
        <x:f>SMALL($G$6:$G$12,4)</x:f>
      </x:c>
      <x:c r="H70" s="6">
        <x:f>SMALL($H$6:$H$12,4)</x:f>
      </x:c>
      <x:c r="I70" s="6">
        <x:f>SMALL($I$6:$I$12,4)</x:f>
      </x:c>
      <x:c r="J70" s="6">
        <x:f>SMALL($J$6:$J$12,4)</x:f>
      </x:c>
      <x:c r="K70" s="6">
        <x:f>SMALL($K$6:$K$12,4)</x:f>
      </x:c>
    </x:row>
    <x:row r="71" spans="2:11" x14ac:dyDescent="0.2">
      <x:c r="B71" s="5">
        <x:v>5</x:v>
      </x:c>
      <x:c r="C71" s="6">
        <x:f>SMALL($C$6:$C$12,5)</x:f>
      </x:c>
      <x:c r="D71" s="6">
        <x:f>SMALL($D$6:$D$12,5)</x:f>
      </x:c>
      <x:c r="E71" s="6">
        <x:f>SMALL($E$6:$E$12,5)</x:f>
      </x:c>
      <x:c r="F71" s="6">
        <x:f>SMALL($F$6:$F$12,5)</x:f>
      </x:c>
      <x:c r="G71" s="6">
        <x:f>SMALL($G$6:$G$12,5)</x:f>
      </x:c>
      <x:c r="H71" s="6">
        <x:f>SMALL($H$6:$H$12,5)</x:f>
      </x:c>
      <x:c r="I71" s="6">
        <x:f>SMALL($I$6:$I$12,5)</x:f>
      </x:c>
      <x:c r="J71" s="6">
        <x:f>SMALL($J$6:$J$12,5)</x:f>
      </x:c>
      <x:c r="K71" s="6">
        <x:f>SMALL($K$6:$K$12,5)</x:f>
      </x:c>
    </x:row>
    <x:row r="72" spans="2:11" x14ac:dyDescent="0.2">
      <x:c r="B72" s="5">
        <x:v>6</x:v>
      </x:c>
      <x:c r="C72" s="6">
        <x:f>SMALL($C$6:$C$12,6)</x:f>
      </x:c>
      <x:c r="D72" s="6">
        <x:f>SMALL($D$6:$D$12,6)</x:f>
      </x:c>
      <x:c r="E72" s="6">
        <x:f>SMALL($E$6:$E$12,6)</x:f>
      </x:c>
      <x:c r="F72" s="6">
        <x:f>SMALL($F$6:$F$12,6)</x:f>
      </x:c>
      <x:c r="G72" s="6">
        <x:f>SMALL($G$6:$G$12,6)</x:f>
      </x:c>
      <x:c r="H72" s="6">
        <x:f>SMALL($H$6:$H$12,6)</x:f>
      </x:c>
      <x:c r="I72" s="6">
        <x:f>SMALL($I$6:$I$12,6)</x:f>
      </x:c>
      <x:c r="J72" s="6">
        <x:f>SMALL($J$6:$J$12,6)</x:f>
      </x:c>
      <x:c r="K72" s="6">
        <x:f>SMALL($K$6:$K$12,6)</x:f>
      </x:c>
    </x:row>
    <x:row r="73" spans="2:11" x14ac:dyDescent="0.2">
      <x:c r="B73" s="5">
        <x:v>7</x:v>
      </x:c>
      <x:c r="C73" s="6">
        <x:f>SMALL($C$6:$C$12,7)</x:f>
      </x:c>
      <x:c r="D73" s="6">
        <x:f>SMALL($D$6:$D$12,7)</x:f>
      </x:c>
      <x:c r="E73" s="6">
        <x:f>SMALL($E$6:$E$12,7)</x:f>
      </x:c>
      <x:c r="F73" s="6">
        <x:f>SMALL($F$6:$F$12,7)</x:f>
      </x:c>
      <x:c r="G73" s="6">
        <x:f>SMALL($G$6:$G$12,7)</x:f>
      </x:c>
      <x:c r="H73" s="6">
        <x:f>SMALL($H$6:$H$12,7)</x:f>
      </x:c>
      <x:c r="I73" s="6">
        <x:f>SMALL($I$6:$I$12,7)</x:f>
      </x:c>
      <x:c r="J73" s="6">
        <x:f>SMALL($J$6:$J$12,7)</x:f>
      </x:c>
      <x:c r="K73" s="6">
        <x:f>SMALL($K$6:$K$12,7)</x:f>
      </x:c>
    </x:row>
    <x:row r="76" spans="2:11" x14ac:dyDescent="0.2">
      <x:c r="B76" s="4" t="s">
        <x:v>45</x:v>
      </x:c>
      <x:c r="C76" s="4"/>
      <x:c r="D76" s="4"/>
      <x:c r="E76" s="4"/>
      <x:c r="F76" s="4"/>
      <x:c r="G76" s="4"/>
      <x:c r="H76" s="4"/>
      <x:c r="I76" s="4"/>
      <x:c r="J76" s="4"/>
      <x:c r="K76" s="4"/>
    </x:row>
    <x:row r="77" spans="2:11" x14ac:dyDescent="0.2"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 spans="2:11" x14ac:dyDescent="0.2">
      <x:c r="B78" s="11" t="s">
        <x:v>46</x:v>
      </x:c>
      <x:c r="C78" s="11"/>
      <x:c r="D78" s="11"/>
      <x:c r="E78" s="11"/>
      <x:c r="F78" s="11"/>
      <x:c r="G78" s="11"/>
      <x:c r="H78" s="11"/>
      <x:c r="I78" s="11"/>
      <x:c r="J78" s="11"/>
      <x:c r="K78" s="11"/>
    </x:row>
    <x:row r="79" spans="2:11" x14ac:dyDescent="0.2">
      <x:c r="B79" s="7" t="s">
        <x:v>47</x:v>
      </x:c>
      <x:c r="C79" s="7" t="s">
        <x:v>4</x:v>
      </x:c>
      <x:c r="D79" s="7" t="s">
        <x:v>5</x:v>
      </x:c>
      <x:c r="E79" s="7" t="s">
        <x:v>6</x:v>
      </x:c>
      <x:c r="F79" s="7" t="s">
        <x:v>7</x:v>
      </x:c>
      <x:c r="G79" s="7" t="s">
        <x:v>8</x:v>
      </x:c>
      <x:c r="H79" s="7" t="s">
        <x:v>9</x:v>
      </x:c>
      <x:c r="I79" s="7" t="s">
        <x:v>10</x:v>
      </x:c>
      <x:c r="J79" s="7" t="s">
        <x:v>11</x:v>
      </x:c>
      <x:c r="K79" s="7" t="s">
        <x:v>12</x:v>
      </x:c>
    </x:row>
    <x:row r="80" spans="2:11" x14ac:dyDescent="0.2">
      <x:c r="B80" s="5" t="s">
        <x:v>13</x:v>
      </x:c>
      <x:c r="C80" s="6">
        <x:f>_xlfn.RANK.EQ($C$6,$C$6:$C$12,0)</x:f>
      </x:c>
      <x:c r="D80" s="6">
        <x:f>_xlfn.RANK.EQ($D$6,$D$6:$D$12,0)</x:f>
      </x:c>
      <x:c r="E80" s="6">
        <x:f>_xlfn.RANK.EQ($E$6,$E$6:$E$12,0)</x:f>
      </x:c>
      <x:c r="F80" s="6">
        <x:f>_xlfn.RANK.EQ($F$6,$F$6:$F$12,0)</x:f>
      </x:c>
      <x:c r="G80" s="6">
        <x:f>_xlfn.RANK.EQ($G$6,$G$6:$G$12,0)</x:f>
      </x:c>
      <x:c r="H80" s="6">
        <x:f>_xlfn.RANK.EQ($H$6,$H$6:$H$12,0)</x:f>
      </x:c>
      <x:c r="I80" s="6">
        <x:f>_xlfn.RANK.EQ($I$6,$I$6:$I$12,0)</x:f>
      </x:c>
      <x:c r="J80" s="6">
        <x:f>_xlfn.RANK.EQ($J$6,$J$6:$J$12,0)</x:f>
      </x:c>
      <x:c r="K80" s="6">
        <x:f>_xlfn.RANK.EQ($K$6,$K$6:$K$12,0)</x:f>
      </x:c>
    </x:row>
    <x:row r="81" spans="2:11" x14ac:dyDescent="0.2">
      <x:c r="B81" s="5" t="s">
        <x:v>14</x:v>
      </x:c>
      <x:c r="C81" s="6">
        <x:f>_xlfn.RANK.EQ($C$7,$C$6:$C$12,0)</x:f>
      </x:c>
      <x:c r="D81" s="6">
        <x:f>_xlfn.RANK.EQ($D$7,$D$6:$D$12,0)</x:f>
      </x:c>
      <x:c r="E81" s="6">
        <x:f>_xlfn.RANK.EQ($E$7,$E$6:$E$12,0)</x:f>
      </x:c>
      <x:c r="F81" s="6">
        <x:f>_xlfn.RANK.EQ($F$7,$F$6:$F$12,0)</x:f>
      </x:c>
      <x:c r="G81" s="6">
        <x:f>_xlfn.RANK.EQ($G$7,$G$6:$G$12,0)</x:f>
      </x:c>
      <x:c r="H81" s="6">
        <x:f>_xlfn.RANK.EQ($H$7,$H$6:$H$12,0)</x:f>
      </x:c>
      <x:c r="I81" s="6">
        <x:f>_xlfn.RANK.EQ($I$7,$I$6:$I$12,0)</x:f>
      </x:c>
      <x:c r="J81" s="6">
        <x:f>_xlfn.RANK.EQ($J$7,$J$6:$J$12,0)</x:f>
      </x:c>
      <x:c r="K81" s="6">
        <x:f>_xlfn.RANK.EQ($K$7,$K$6:$K$12,0)</x:f>
      </x:c>
    </x:row>
    <x:row r="82" spans="2:11" x14ac:dyDescent="0.2">
      <x:c r="B82" s="5" t="s">
        <x:v>16</x:v>
      </x:c>
      <x:c r="C82" s="6">
        <x:f>_xlfn.RANK.EQ($C$8,$C$6:$C$12,0)</x:f>
      </x:c>
      <x:c r="D82" s="6">
        <x:f>_xlfn.RANK.EQ($D$8,$D$6:$D$12,0)</x:f>
      </x:c>
      <x:c r="E82" s="6">
        <x:f>_xlfn.RANK.EQ($E$8,$E$6:$E$12,0)</x:f>
      </x:c>
      <x:c r="F82" s="6">
        <x:f>_xlfn.RANK.EQ($F$8,$F$6:$F$12,0)</x:f>
      </x:c>
      <x:c r="G82" s="6">
        <x:f>_xlfn.RANK.EQ($G$8,$G$6:$G$12,0)</x:f>
      </x:c>
      <x:c r="H82" s="6">
        <x:f>_xlfn.RANK.EQ($H$8,$H$6:$H$12,0)</x:f>
      </x:c>
      <x:c r="I82" s="6">
        <x:f>_xlfn.RANK.EQ($I$8,$I$6:$I$12,0)</x:f>
      </x:c>
      <x:c r="J82" s="6">
        <x:f>_xlfn.RANK.EQ($J$8,$J$6:$J$12,0)</x:f>
      </x:c>
      <x:c r="K82" s="6">
        <x:f>_xlfn.RANK.EQ($K$8,$K$6:$K$12,0)</x:f>
      </x:c>
    </x:row>
    <x:row r="83" spans="2:11" x14ac:dyDescent="0.2">
      <x:c r="B83" s="5" t="s">
        <x:v>17</x:v>
      </x:c>
      <x:c r="C83" s="6">
        <x:f>_xlfn.RANK.EQ($C$9,$C$6:$C$12,0)</x:f>
      </x:c>
      <x:c r="D83" s="6">
        <x:f>_xlfn.RANK.EQ($D$9,$D$6:$D$12,0)</x:f>
      </x:c>
      <x:c r="E83" s="6">
        <x:f>_xlfn.RANK.EQ($E$9,$E$6:$E$12,0)</x:f>
      </x:c>
      <x:c r="F83" s="6">
        <x:f>_xlfn.RANK.EQ($F$9,$F$6:$F$12,0)</x:f>
      </x:c>
      <x:c r="G83" s="6">
        <x:f>_xlfn.RANK.EQ($G$9,$G$6:$G$12,0)</x:f>
      </x:c>
      <x:c r="H83" s="6">
        <x:f>_xlfn.RANK.EQ($H$9,$H$6:$H$12,0)</x:f>
      </x:c>
      <x:c r="I83" s="6">
        <x:f>_xlfn.RANK.EQ($I$9,$I$6:$I$12,0)</x:f>
      </x:c>
      <x:c r="J83" s="6">
        <x:f>_xlfn.RANK.EQ($J$9,$J$6:$J$12,0)</x:f>
      </x:c>
      <x:c r="K83" s="6">
        <x:f>_xlfn.RANK.EQ($K$9,$K$6:$K$12,0)</x:f>
      </x:c>
    </x:row>
    <x:row r="84" spans="2:11" x14ac:dyDescent="0.2">
      <x:c r="B84" s="5" t="s">
        <x:v>18</x:v>
      </x:c>
      <x:c r="C84" s="6">
        <x:f>_xlfn.RANK.EQ($C$10,$C$6:$C$12,0)</x:f>
      </x:c>
      <x:c r="D84" s="6">
        <x:f>_xlfn.RANK.EQ($D$10,$D$6:$D$12,0)</x:f>
      </x:c>
      <x:c r="E84" s="6">
        <x:f>_xlfn.RANK.EQ($E$10,$E$6:$E$12,0)</x:f>
      </x:c>
      <x:c r="F84" s="6">
        <x:f>_xlfn.RANK.EQ($F$10,$F$6:$F$12,0)</x:f>
      </x:c>
      <x:c r="G84" s="6">
        <x:f>_xlfn.RANK.EQ($G$10,$G$6:$G$12,0)</x:f>
      </x:c>
      <x:c r="H84" s="6">
        <x:f>_xlfn.RANK.EQ($H$10,$H$6:$H$12,0)</x:f>
      </x:c>
      <x:c r="I84" s="6">
        <x:f>_xlfn.RANK.EQ($I$10,$I$6:$I$12,0)</x:f>
      </x:c>
      <x:c r="J84" s="6">
        <x:f>_xlfn.RANK.EQ($J$10,$J$6:$J$12,0)</x:f>
      </x:c>
      <x:c r="K84" s="6">
        <x:f>_xlfn.RANK.EQ($K$10,$K$6:$K$12,0)</x:f>
      </x:c>
    </x:row>
    <x:row r="85" spans="2:11" x14ac:dyDescent="0.2">
      <x:c r="B85" s="5" t="s">
        <x:v>19</x:v>
      </x:c>
      <x:c r="C85" s="6">
        <x:f>_xlfn.RANK.EQ($C$11,$C$6:$C$12,0)</x:f>
      </x:c>
      <x:c r="D85" s="6">
        <x:f>_xlfn.RANK.EQ($D$11,$D$6:$D$12,0)</x:f>
      </x:c>
      <x:c r="E85" s="6">
        <x:f>_xlfn.RANK.EQ($E$11,$E$6:$E$12,0)</x:f>
      </x:c>
      <x:c r="F85" s="6">
        <x:f>_xlfn.RANK.EQ($F$11,$F$6:$F$12,0)</x:f>
      </x:c>
      <x:c r="G85" s="6">
        <x:f>_xlfn.RANK.EQ($G$11,$G$6:$G$12,0)</x:f>
      </x:c>
      <x:c r="H85" s="6">
        <x:f>_xlfn.RANK.EQ($H$11,$H$6:$H$12,0)</x:f>
      </x:c>
      <x:c r="I85" s="6">
        <x:f>_xlfn.RANK.EQ($I$11,$I$6:$I$12,0)</x:f>
      </x:c>
      <x:c r="J85" s="6">
        <x:f>_xlfn.RANK.EQ($J$11,$J$6:$J$12,0)</x:f>
      </x:c>
      <x:c r="K85" s="6">
        <x:f>_xlfn.RANK.EQ($K$11,$K$6:$K$12,0)</x:f>
      </x:c>
    </x:row>
    <x:row r="86" spans="2:11" x14ac:dyDescent="0.2">
      <x:c r="B86" s="5" t="s">
        <x:v>21</x:v>
      </x:c>
      <x:c r="C86" s="6">
        <x:f>_xlfn.RANK.EQ($C$12,$C$6:$C$12,0)</x:f>
      </x:c>
      <x:c r="D86" s="6">
        <x:f>_xlfn.RANK.EQ($D$12,$D$6:$D$12,0)</x:f>
      </x:c>
      <x:c r="E86" s="6">
        <x:f>_xlfn.RANK.EQ($E$12,$E$6:$E$12,0)</x:f>
      </x:c>
      <x:c r="F86" s="6">
        <x:f>_xlfn.RANK.EQ($F$12,$F$6:$F$12,0)</x:f>
      </x:c>
      <x:c r="G86" s="6">
        <x:f>_xlfn.RANK.EQ($G$12,$G$6:$G$12,0)</x:f>
      </x:c>
      <x:c r="H86" s="6">
        <x:f>_xlfn.RANK.EQ($H$12,$H$6:$H$12,0)</x:f>
      </x:c>
      <x:c r="I86" s="6">
        <x:f>_xlfn.RANK.EQ($I$12,$I$6:$I$12,0)</x:f>
      </x:c>
      <x:c r="J86" s="6">
        <x:f>_xlfn.RANK.EQ($J$12,$J$6:$J$12,0)</x:f>
      </x:c>
      <x:c r="K86" s="6">
        <x:f>_xlfn.RANK.EQ($K$12,$K$6:$K$12,0)</x:f>
      </x:c>
    </x:row>
    <x:row r="88" spans="2:11" x14ac:dyDescent="0.2">
      <x:c r="B88" s="12" t="s">
        <x:v>48</x:v>
      </x:c>
      <x:c r="C88" s="11"/>
      <x:c r="D88" s="11"/>
      <x:c r="E88" s="11"/>
      <x:c r="F88" s="11"/>
      <x:c r="G88" s="11"/>
      <x:c r="H88" s="11"/>
      <x:c r="I88" s="11"/>
      <x:c r="J88" s="11"/>
      <x:c r="K88" s="11"/>
    </x:row>
    <x:row r="89" spans="2:11" x14ac:dyDescent="0.2">
      <x:c r="B89" s="7" t="s">
        <x:v>47</x:v>
      </x:c>
      <x:c r="C89" s="7" t="s">
        <x:v>4</x:v>
      </x:c>
      <x:c r="D89" s="7" t="s">
        <x:v>5</x:v>
      </x:c>
      <x:c r="E89" s="7" t="s">
        <x:v>6</x:v>
      </x:c>
      <x:c r="F89" s="7" t="s">
        <x:v>7</x:v>
      </x:c>
      <x:c r="G89" s="7" t="s">
        <x:v>8</x:v>
      </x:c>
      <x:c r="H89" s="7" t="s">
        <x:v>9</x:v>
      </x:c>
      <x:c r="I89" s="7" t="s">
        <x:v>10</x:v>
      </x:c>
      <x:c r="J89" s="7" t="s">
        <x:v>11</x:v>
      </x:c>
      <x:c r="K89" s="7" t="s">
        <x:v>12</x:v>
      </x:c>
    </x:row>
    <x:row r="90" spans="2:11" x14ac:dyDescent="0.2">
      <x:c r="B90" s="5" t="s">
        <x:v>13</x:v>
      </x:c>
      <x:c r="C90" s="6">
        <x:f>_xlfn.RANK.EQ($C$6,$C$6:$C$12,1)</x:f>
      </x:c>
      <x:c r="D90" s="6">
        <x:f>_xlfn.RANK.EQ($D$6,$D$6:$D$12,1)</x:f>
      </x:c>
      <x:c r="E90" s="6">
        <x:f>_xlfn.RANK.EQ($E$6,$E$6:$E$12,1)</x:f>
      </x:c>
      <x:c r="F90" s="6">
        <x:f>_xlfn.RANK.EQ($F$6,$F$6:$F$12,1)</x:f>
      </x:c>
      <x:c r="G90" s="6">
        <x:f>_xlfn.RANK.EQ($G$6,$G$6:$G$12,1)</x:f>
      </x:c>
      <x:c r="H90" s="6">
        <x:f>_xlfn.RANK.EQ($H$6,$H$6:$H$12,1)</x:f>
      </x:c>
      <x:c r="I90" s="6">
        <x:f>_xlfn.RANK.EQ($I$6,$I$6:$I$12,1)</x:f>
      </x:c>
      <x:c r="J90" s="6">
        <x:f>_xlfn.RANK.EQ($J$6,$J$6:$J$12,1)</x:f>
      </x:c>
      <x:c r="K90" s="6">
        <x:f>_xlfn.RANK.EQ($K$6,$K$6:$K$12,1)</x:f>
      </x:c>
    </x:row>
    <x:row r="91" spans="2:11" x14ac:dyDescent="0.2">
      <x:c r="B91" s="5" t="s">
        <x:v>14</x:v>
      </x:c>
      <x:c r="C91" s="6">
        <x:f>_xlfn.RANK.EQ($C$7,$C$6:$C$12,1)</x:f>
      </x:c>
      <x:c r="D91" s="6">
        <x:f>_xlfn.RANK.EQ($D$7,$D$6:$D$12,1)</x:f>
      </x:c>
      <x:c r="E91" s="6">
        <x:f>_xlfn.RANK.EQ($E$7,$E$6:$E$12,1)</x:f>
      </x:c>
      <x:c r="F91" s="6">
        <x:f>_xlfn.RANK.EQ($F$7,$F$6:$F$12,1)</x:f>
      </x:c>
      <x:c r="G91" s="6">
        <x:f>_xlfn.RANK.EQ($G$7,$G$6:$G$12,1)</x:f>
      </x:c>
      <x:c r="H91" s="6">
        <x:f>_xlfn.RANK.EQ($H$7,$H$6:$H$12,1)</x:f>
      </x:c>
      <x:c r="I91" s="6">
        <x:f>_xlfn.RANK.EQ($I$7,$I$6:$I$12,1)</x:f>
      </x:c>
      <x:c r="J91" s="6">
        <x:f>_xlfn.RANK.EQ($J$7,$J$6:$J$12,1)</x:f>
      </x:c>
      <x:c r="K91" s="6">
        <x:f>_xlfn.RANK.EQ($K$7,$K$6:$K$12,1)</x:f>
      </x:c>
    </x:row>
    <x:row r="92" spans="2:11" x14ac:dyDescent="0.2">
      <x:c r="B92" s="5" t="s">
        <x:v>16</x:v>
      </x:c>
      <x:c r="C92" s="6">
        <x:f>_xlfn.RANK.EQ($C$8,$C$6:$C$12,1)</x:f>
      </x:c>
      <x:c r="D92" s="6">
        <x:f>_xlfn.RANK.EQ($D$8,$D$6:$D$12,1)</x:f>
      </x:c>
      <x:c r="E92" s="6">
        <x:f>_xlfn.RANK.EQ($E$8,$E$6:$E$12,1)</x:f>
      </x:c>
      <x:c r="F92" s="6">
        <x:f>_xlfn.RANK.EQ($F$8,$F$6:$F$12,1)</x:f>
      </x:c>
      <x:c r="G92" s="6">
        <x:f>_xlfn.RANK.EQ($G$8,$G$6:$G$12,1)</x:f>
      </x:c>
      <x:c r="H92" s="6">
        <x:f>_xlfn.RANK.EQ($H$8,$H$6:$H$12,1)</x:f>
      </x:c>
      <x:c r="I92" s="6">
        <x:f>_xlfn.RANK.EQ($I$8,$I$6:$I$12,1)</x:f>
      </x:c>
      <x:c r="J92" s="6">
        <x:f>_xlfn.RANK.EQ($J$8,$J$6:$J$12,1)</x:f>
      </x:c>
      <x:c r="K92" s="6">
        <x:f>_xlfn.RANK.EQ($K$8,$K$6:$K$12,1)</x:f>
      </x:c>
    </x:row>
    <x:row r="93" spans="2:11" x14ac:dyDescent="0.2">
      <x:c r="B93" s="5" t="s">
        <x:v>17</x:v>
      </x:c>
      <x:c r="C93" s="6">
        <x:f>_xlfn.RANK.EQ($C$9,$C$6:$C$12,1)</x:f>
      </x:c>
      <x:c r="D93" s="6">
        <x:f>_xlfn.RANK.EQ($D$9,$D$6:$D$12,1)</x:f>
      </x:c>
      <x:c r="E93" s="6">
        <x:f>_xlfn.RANK.EQ($E$9,$E$6:$E$12,1)</x:f>
      </x:c>
      <x:c r="F93" s="6">
        <x:f>_xlfn.RANK.EQ($F$9,$F$6:$F$12,1)</x:f>
      </x:c>
      <x:c r="G93" s="6">
        <x:f>_xlfn.RANK.EQ($G$9,$G$6:$G$12,1)</x:f>
      </x:c>
      <x:c r="H93" s="6">
        <x:f>_xlfn.RANK.EQ($H$9,$H$6:$H$12,1)</x:f>
      </x:c>
      <x:c r="I93" s="6">
        <x:f>_xlfn.RANK.EQ($I$9,$I$6:$I$12,1)</x:f>
      </x:c>
      <x:c r="J93" s="6">
        <x:f>_xlfn.RANK.EQ($J$9,$J$6:$J$12,1)</x:f>
      </x:c>
      <x:c r="K93" s="6">
        <x:f>_xlfn.RANK.EQ($K$9,$K$6:$K$12,1)</x:f>
      </x:c>
    </x:row>
    <x:row r="94" spans="2:11" x14ac:dyDescent="0.2">
      <x:c r="B94" s="5" t="s">
        <x:v>18</x:v>
      </x:c>
      <x:c r="C94" s="6">
        <x:f>_xlfn.RANK.EQ($C$10,$C$6:$C$12,1)</x:f>
      </x:c>
      <x:c r="D94" s="6">
        <x:f>_xlfn.RANK.EQ($D$10,$D$6:$D$12,1)</x:f>
      </x:c>
      <x:c r="E94" s="6">
        <x:f>_xlfn.RANK.EQ($E$10,$E$6:$E$12,1)</x:f>
      </x:c>
      <x:c r="F94" s="6">
        <x:f>_xlfn.RANK.EQ($F$10,$F$6:$F$12,1)</x:f>
      </x:c>
      <x:c r="G94" s="6">
        <x:f>_xlfn.RANK.EQ($G$10,$G$6:$G$12,1)</x:f>
      </x:c>
      <x:c r="H94" s="6">
        <x:f>_xlfn.RANK.EQ($H$10,$H$6:$H$12,1)</x:f>
      </x:c>
      <x:c r="I94" s="6">
        <x:f>_xlfn.RANK.EQ($I$10,$I$6:$I$12,1)</x:f>
      </x:c>
      <x:c r="J94" s="6">
        <x:f>_xlfn.RANK.EQ($J$10,$J$6:$J$12,1)</x:f>
      </x:c>
      <x:c r="K94" s="6">
        <x:f>_xlfn.RANK.EQ($K$10,$K$6:$K$12,1)</x:f>
      </x:c>
    </x:row>
    <x:row r="95" spans="2:11" x14ac:dyDescent="0.2">
      <x:c r="B95" s="5" t="s">
        <x:v>19</x:v>
      </x:c>
      <x:c r="C95" s="6">
        <x:f>_xlfn.RANK.EQ($C$11,$C$6:$C$12,1)</x:f>
      </x:c>
      <x:c r="D95" s="6">
        <x:f>_xlfn.RANK.EQ($D$11,$D$6:$D$12,1)</x:f>
      </x:c>
      <x:c r="E95" s="6">
        <x:f>_xlfn.RANK.EQ($E$11,$E$6:$E$12,1)</x:f>
      </x:c>
      <x:c r="F95" s="6">
        <x:f>_xlfn.RANK.EQ($F$11,$F$6:$F$12,1)</x:f>
      </x:c>
      <x:c r="G95" s="6">
        <x:f>_xlfn.RANK.EQ($G$11,$G$6:$G$12,1)</x:f>
      </x:c>
      <x:c r="H95" s="6">
        <x:f>_xlfn.RANK.EQ($H$11,$H$6:$H$12,1)</x:f>
      </x:c>
      <x:c r="I95" s="6">
        <x:f>_xlfn.RANK.EQ($I$11,$I$6:$I$12,1)</x:f>
      </x:c>
      <x:c r="J95" s="6">
        <x:f>_xlfn.RANK.EQ($J$11,$J$6:$J$12,1)</x:f>
      </x:c>
      <x:c r="K95" s="6">
        <x:f>_xlfn.RANK.EQ($K$11,$K$6:$K$12,1)</x:f>
      </x:c>
    </x:row>
    <x:row r="96" spans="2:11" x14ac:dyDescent="0.2">
      <x:c r="B96" s="5" t="s">
        <x:v>21</x:v>
      </x:c>
      <x:c r="C96" s="6">
        <x:f>_xlfn.RANK.EQ($C$12,$C$6:$C$12,1)</x:f>
      </x:c>
      <x:c r="D96" s="6">
        <x:f>_xlfn.RANK.EQ($D$12,$D$6:$D$12,1)</x:f>
      </x:c>
      <x:c r="E96" s="6">
        <x:f>_xlfn.RANK.EQ($E$12,$E$6:$E$12,1)</x:f>
      </x:c>
      <x:c r="F96" s="6">
        <x:f>_xlfn.RANK.EQ($F$12,$F$6:$F$12,1)</x:f>
      </x:c>
      <x:c r="G96" s="6">
        <x:f>_xlfn.RANK.EQ($G$12,$G$6:$G$12,1)</x:f>
      </x:c>
      <x:c r="H96" s="6">
        <x:f>_xlfn.RANK.EQ($H$12,$H$6:$H$12,1)</x:f>
      </x:c>
      <x:c r="I96" s="6">
        <x:f>_xlfn.RANK.EQ($I$12,$I$6:$I$12,1)</x:f>
      </x:c>
      <x:c r="J96" s="6">
        <x:f>_xlfn.RANK.EQ($J$12,$J$6:$J$12,1)</x:f>
      </x:c>
      <x:c r="K96" s="6">
        <x:f>_xlfn.RANK.EQ($K$12,$K$6:$K$12,1)</x:f>
      </x:c>
    </x:row>
    <x:row r="99" spans="2:11" x14ac:dyDescent="0.2">
      <x:c r="B99" s="10" t="s">
        <x:v>49</x:v>
      </x:c>
      <x:c r="C99" s="4"/>
      <x:c r="D99" s="4"/>
      <x:c r="E99" s="4"/>
      <x:c r="F99" s="4"/>
      <x:c r="G99" s="4"/>
      <x:c r="H99" s="4"/>
      <x:c r="I99" s="4"/>
      <x:c r="J99" s="4"/>
      <x:c r="K99" s="4"/>
    </x:row>
    <x:row r="100" spans="2:11" x14ac:dyDescent="0.2"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</x:row>
    <x:row r="101" spans="2:11" x14ac:dyDescent="0.2">
      <x:c r="B101" s="11" t="s">
        <x:v>50</x:v>
      </x:c>
      <x:c r="C101" s="11"/>
      <x:c r="D101" s="11"/>
      <x:c r="E101" s="11"/>
      <x:c r="F101" s="11"/>
      <x:c r="G101" s="11"/>
      <x:c r="H101" s="11"/>
      <x:c r="I101" s="11"/>
      <x:c r="J101" s="11"/>
      <x:c r="K101" s="11"/>
    </x:row>
    <x:row r="102" spans="2:11" x14ac:dyDescent="0.2">
      <x:c r="B102" s="7" t="s">
        <x:v>51</x:v>
      </x:c>
      <x:c r="C102" s="7" t="s">
        <x:v>52</x:v>
      </x:c>
      <x:c r="D102" s="7" t="s">
        <x:v>53</x:v>
      </x:c>
      <x:c r="E102" s="7" t="s">
        <x:v>54</x:v>
      </x:c>
      <x:c r="F102" s="7" t="s">
        <x:v>55</x:v>
      </x:c>
    </x:row>
    <x:row r="103" spans="2:11" x14ac:dyDescent="0.2">
      <x:c r="B103" s="8">
        <x:v>1</x:v>
      </x:c>
      <x:c r="C103" s="8">
        <x:v>10</x:v>
      </x:c>
      <x:c r="D103" s="8" t="s">
        <x:v>56</x:v>
      </x:c>
      <x:c r="E103" s="8">
        <x:v>85</x:v>
      </x:c>
      <x:c r="F103" s="8" t="s">
        <x:v>57</x:v>
      </x:c>
    </x:row>
    <x:row r="104" spans="2:11" x14ac:dyDescent="0.2">
      <x:c r="B104" s="8">
        <x:v>2</x:v>
      </x:c>
      <x:c r="C104" s="8">
        <x:v>25</x:v>
      </x:c>
      <x:c r="D104" s="8" t="s">
        <x:v>58</x:v>
      </x:c>
      <x:c r="E104" s="8">
        <x:v>92</x:v>
      </x:c>
      <x:c r="F104" s="8" t="s">
        <x:v>59</x:v>
      </x:c>
    </x:row>
    <x:row r="105" spans="2:11" x14ac:dyDescent="0.2">
      <x:c r="B105" s="8">
        <x:v>3</x:v>
      </x:c>
      <x:c r="C105" s="8">
        <x:v>5</x:v>
      </x:c>
      <x:c r="D105" s="8" t="s">
        <x:v>56</x:v>
      </x:c>
      <x:c r="E105" s="8">
        <x:v>78</x:v>
      </x:c>
      <x:c r="F105" s="8" t="s">
        <x:v>57</x:v>
      </x:c>
    </x:row>
    <x:row r="106" spans="2:11" x14ac:dyDescent="0.2">
      <x:c r="B106" s="8">
        <x:v>4</x:v>
      </x:c>
      <x:c r="C106" s="8">
        <x:v>40</x:v>
      </x:c>
      <x:c r="D106" s="8" t="s">
        <x:v>60</x:v>
      </x:c>
      <x:c r="E106" s="8">
        <x:v>65</x:v>
      </x:c>
      <x:c r="F106" s="8" t="s">
        <x:v>61</x:v>
      </x:c>
    </x:row>
    <x:row r="107" spans="2:11" x14ac:dyDescent="0.2">
      <x:c r="B107" s="8">
        <x:v>5</x:v>
      </x:c>
      <x:c r="C107" s="8">
        <x:v>15</x:v>
      </x:c>
      <x:c r="D107" s="8" t="s">
        <x:v>58</x:v>
      </x:c>
      <x:c r="E107" s="8">
        <x:v>88</x:v>
      </x:c>
      <x:c r="F107" s="8" t="s">
        <x:v>59</x:v>
      </x:c>
    </x:row>
    <x:row r="108" spans="2:11" x14ac:dyDescent="0.2">
      <x:c r="B108" s="8">
        <x:v>6</x:v>
      </x:c>
      <x:c r="C108" s="8">
        <x:v>30</x:v>
      </x:c>
      <x:c r="D108" s="8" t="s">
        <x:v>56</x:v>
      </x:c>
      <x:c r="E108" s="8">
        <x:v>95</x:v>
      </x:c>
      <x:c r="F108" s="8" t="s">
        <x:v>62</x:v>
      </x:c>
    </x:row>
    <x:row r="109" spans="2:11" x14ac:dyDescent="0.2">
      <x:c r="B109" s="8">
        <x:v>7</x:v>
      </x:c>
      <x:c r="C109" s="8">
        <x:v>8</x:v>
      </x:c>
      <x:c r="D109" s="8" t="s">
        <x:v>60</x:v>
      </x:c>
      <x:c r="E109" s="8">
        <x:v>72</x:v>
      </x:c>
      <x:c r="F109" s="8" t="s">
        <x:v>57</x:v>
      </x:c>
    </x:row>
    <x:row r="110" spans="2:11" x14ac:dyDescent="0.2">
      <x:c r="B110" s="8">
        <x:v>8</x:v>
      </x:c>
      <x:c r="C110" s="8">
        <x:v>50</x:v>
      </x:c>
      <x:c r="D110" s="8" t="s">
        <x:v>58</x:v>
      </x:c>
      <x:c r="E110" s="8">
        <x:v>55</x:v>
      </x:c>
      <x:c r="F110" s="8" t="s">
        <x:v>61</x:v>
      </x:c>
    </x:row>
    <x:row r="111" spans="2:11" x14ac:dyDescent="0.2">
      <x:c r="B111" s="8">
        <x:v>9</x:v>
      </x:c>
      <x:c r="C111" s="8">
        <x:v>20</x:v>
      </x:c>
      <x:c r="D111" s="8" t="s">
        <x:v>56</x:v>
      </x:c>
      <x:c r="E111" s="8">
        <x:v>80</x:v>
      </x:c>
      <x:c r="F111" s="8" t="s">
        <x:v>62</x:v>
      </x:c>
    </x:row>
    <x:row r="112" spans="2:11" x14ac:dyDescent="0.2">
      <x:c r="B112" s="8">
        <x:v>10</x:v>
      </x:c>
      <x:c r="C112" s="8">
        <x:v>35</x:v>
      </x:c>
      <x:c r="D112" s="8" t="s">
        <x:v>60</x:v>
      </x:c>
      <x:c r="E112" s="8">
        <x:v>90</x:v>
      </x:c>
      <x:c r="F112" s="8" t="s">
        <x:v>59</x:v>
      </x:c>
    </x:row>
    <x:row r="115" spans="2:11" x14ac:dyDescent="0.2">
      <x:c r="B115" s="4" t="s">
        <x:v>63</x:v>
      </x:c>
      <x:c r="C115" s="4"/>
      <x:c r="D115" s="4"/>
      <x:c r="E115" s="4"/>
      <x:c r="F115" s="4"/>
      <x:c r="G115" s="4"/>
      <x:c r="H115" s="4"/>
      <x:c r="I115" s="4"/>
      <x:c r="J115" s="4"/>
      <x:c r="K115" s="4"/>
    </x:row>
    <x:row r="116" spans="2:11" x14ac:dyDescent="0.2"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</x:row>
    <x:row r="117" spans="2:11" x14ac:dyDescent="0.2">
      <x:c r="B117" s="7" t="s">
        <x:v>64</x:v>
      </x:c>
      <x:c r="C117" s="7" t="s">
        <x:v>65</x:v>
      </x:c>
      <x:c r="D117" s="7" t="s">
        <x:v>66</x:v>
      </x:c>
    </x:row>
    <x:row r="118" spans="2:11" x14ac:dyDescent="0.2">
      <x:c r="B118" s="3" t="s">
        <x:v>67</x:v>
      </x:c>
      <x:c r="C118" s="14" t="s">
        <x:v>68</x:v>
      </x:c>
      <x:c r="D118" s="6">
        <x:f>_xlfn.MINIFS($C$103:$C$112,$D$103:$D$112,"A")</x:f>
      </x:c>
    </x:row>
    <x:row r="119" spans="2:11" x14ac:dyDescent="0.2">
      <x:c r="B119" s="3" t="s">
        <x:v>69</x:v>
      </x:c>
      <x:c r="C119" s="14" t="s">
        <x:v>70</x:v>
      </x:c>
      <x:c r="D119" s="6">
        <x:f>_xlfn.MINIFS($C$103:$C$112,$D$103:$D$112,"B")</x:f>
      </x:c>
    </x:row>
    <x:row r="120" spans="2:11" x14ac:dyDescent="0.2">
      <x:c r="B120" s="3" t="s">
        <x:v>71</x:v>
      </x:c>
      <x:c r="C120" s="14" t="s">
        <x:v>72</x:v>
      </x:c>
      <x:c r="D120" s="6">
        <x:f>_xlfn.MINIFS($C$103:$C$112,$D$103:$D$112,"C")</x:f>
      </x:c>
    </x:row>
    <x:row r="121" spans="2:11" x14ac:dyDescent="0.2">
      <x:c r="B121" s="3" t="s">
        <x:v>73</x:v>
      </x:c>
      <x:c r="C121" s="14" t="s">
        <x:v>74</x:v>
      </x:c>
      <x:c r="D121" s="6">
        <x:f>_xlfn.MINIFS($C$103:$C$112,$F$103:$F$112,"East")</x:f>
      </x:c>
    </x:row>
    <x:row r="122" spans="2:11" x14ac:dyDescent="0.2">
      <x:c r="B122" s="3" t="s">
        <x:v>75</x:v>
      </x:c>
      <x:c r="C122" s="14" t="s">
        <x:v>76</x:v>
      </x:c>
      <x:c r="D122" s="6">
        <x:f>_xlfn.MINIFS($C$103:$C$112,$E$103:$E$112,"&gt;"&amp;80)</x:f>
      </x:c>
    </x:row>
    <x:row r="123" spans="2:11" x14ac:dyDescent="0.2">
      <x:c r="B123" s="3" t="s">
        <x:v>77</x:v>
      </x:c>
      <x:c r="C123" s="14" t="s">
        <x:v>78</x:v>
      </x:c>
      <x:c r="D123" s="6">
        <x:f>_xlfn.MINIFS($C$103:$C$112,$E$103:$E$112,"&gt;="&amp;90)</x:f>
      </x:c>
    </x:row>
    <x:row r="124" spans="2:11" x14ac:dyDescent="0.2">
      <x:c r="B124" s="3" t="s">
        <x:v>79</x:v>
      </x:c>
      <x:c r="C124" s="14" t="s">
        <x:v>80</x:v>
      </x:c>
      <x:c r="D124" s="6">
        <x:f>_xlfn.MINIFS($C$103:$C$112,$E$103:$E$112,"&lt;"&amp;70)</x:f>
      </x:c>
    </x:row>
    <x:row r="125" spans="2:11" x14ac:dyDescent="0.2">
      <x:c r="B125" s="3" t="s">
        <x:v>81</x:v>
      </x:c>
      <x:c r="C125" s="14" t="s">
        <x:v>82</x:v>
      </x:c>
      <x:c r="D125" s="6">
        <x:f>_xlfn.MINIFS($E$103:$E$112,$D$103:$D$112,"A",$F$103:$F$112,"East")</x:f>
      </x:c>
    </x:row>
    <x:row r="126" spans="2:11" x14ac:dyDescent="0.2">
      <x:c r="B126" s="3" t="s">
        <x:v>83</x:v>
      </x:c>
      <x:c r="C126" s="14" t="s">
        <x:v>84</x:v>
      </x:c>
      <x:c r="D126" s="6">
        <x:f>_xlfn.MINIFS($E$103:$E$112,$D$103:$D$112,"B",$E$103:$E$112,"&gt;"&amp;60)</x:f>
      </x:c>
    </x:row>
    <x:row r="127" spans="2:11" x14ac:dyDescent="0.2">
      <x:c r="B127" s="3" t="s">
        <x:v>85</x:v>
      </x:c>
      <x:c r="C127" s="14" t="s">
        <x:v>86</x:v>
      </x:c>
      <x:c r="D127" s="6">
        <x:f>_xlfn.MINIFS($C$103:$C$112,$C$103:$C$112,"&gt;"&amp;0,$C$103:$C$112,"&lt;"&amp;20)</x:f>
      </x:c>
    </x:row>
    <x:row r="128" spans="2:11" x14ac:dyDescent="0.2">
      <x:c r="B128" s="3" t="s">
        <x:v>87</x:v>
      </x:c>
      <x:c r="C128" s="14" t="s">
        <x:v>88</x:v>
      </x:c>
      <x:c r="D128" s="6">
        <x:f>_xlfn.MINIFS($C$103:$C$112,$D$103:$D$112,"Z")</x:f>
      </x:c>
    </x:row>
    <x:row r="129" spans="2:11" x14ac:dyDescent="0.2">
      <x:c r="B129" s="3" t="s">
        <x:v>89</x:v>
      </x:c>
      <x:c r="C129" s="14" t="s">
        <x:v>90</x:v>
      </x:c>
      <x:c r="D129" s="6">
        <x:f>_xlfn.MINIFS($E$103:$E$112,$E$103:$E$112,"&gt;"&amp;100)</x:f>
      </x:c>
    </x:row>
    <x:row r="132" spans="2:11" x14ac:dyDescent="0.2">
      <x:c r="B132" s="10" t="s">
        <x:v>91</x:v>
      </x:c>
      <x:c r="C132" s="4"/>
      <x:c r="D132" s="4"/>
      <x:c r="E132" s="4"/>
      <x:c r="F132" s="4"/>
      <x:c r="G132" s="4"/>
      <x:c r="H132" s="4"/>
      <x:c r="I132" s="4"/>
      <x:c r="J132" s="4"/>
      <x:c r="K132" s="4"/>
    </x:row>
    <x:row r="133" spans="2:11" x14ac:dyDescent="0.2"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</x:row>
    <x:row r="134" spans="2:11" x14ac:dyDescent="0.2">
      <x:c r="B134" s="7" t="s">
        <x:v>64</x:v>
      </x:c>
      <x:c r="C134" s="7" t="s">
        <x:v>65</x:v>
      </x:c>
      <x:c r="D134" s="7" t="s">
        <x:v>66</x:v>
      </x:c>
    </x:row>
    <x:row r="135" spans="2:11" x14ac:dyDescent="0.2">
      <x:c r="B135" s="3" t="s">
        <x:v>92</x:v>
      </x:c>
      <x:c r="C135" s="14" t="s">
        <x:v>93</x:v>
      </x:c>
      <x:c r="D135" s="6">
        <x:f>_xlfn.MAXIFS($C$103:$C$112,$D$103:$D$112,"A")</x:f>
      </x:c>
    </x:row>
    <x:row r="136" spans="2:11" x14ac:dyDescent="0.2">
      <x:c r="B136" s="3" t="s">
        <x:v>94</x:v>
      </x:c>
      <x:c r="C136" s="14" t="s">
        <x:v>95</x:v>
      </x:c>
      <x:c r="D136" s="6">
        <x:f>_xlfn.MAXIFS($C$103:$C$112,$D$103:$D$112,"B")</x:f>
      </x:c>
    </x:row>
    <x:row r="137" spans="2:11" x14ac:dyDescent="0.2">
      <x:c r="B137" s="3" t="s">
        <x:v>96</x:v>
      </x:c>
      <x:c r="C137" s="14" t="s">
        <x:v>97</x:v>
      </x:c>
      <x:c r="D137" s="6">
        <x:f>_xlfn.MAXIFS($C$103:$C$112,$D$103:$D$112,"C")</x:f>
      </x:c>
    </x:row>
    <x:row r="138" spans="2:11" x14ac:dyDescent="0.2">
      <x:c r="B138" s="3" t="s">
        <x:v>98</x:v>
      </x:c>
      <x:c r="C138" s="14" t="s">
        <x:v>99</x:v>
      </x:c>
      <x:c r="D138" s="6">
        <x:f>_xlfn.MAXIFS($C$103:$C$112,$F$103:$F$112,"East")</x:f>
      </x:c>
    </x:row>
    <x:row r="139" spans="2:11" x14ac:dyDescent="0.2">
      <x:c r="B139" s="3" t="s">
        <x:v>100</x:v>
      </x:c>
      <x:c r="C139" s="14" t="s">
        <x:v>101</x:v>
      </x:c>
      <x:c r="D139" s="6">
        <x:f>_xlfn.MAXIFS($C$103:$C$112,$E$103:$E$112,"&gt;"&amp;80)</x:f>
      </x:c>
    </x:row>
    <x:row r="140" spans="2:11" x14ac:dyDescent="0.2">
      <x:c r="B140" s="3" t="s">
        <x:v>102</x:v>
      </x:c>
      <x:c r="C140" s="14" t="s">
        <x:v>103</x:v>
      </x:c>
      <x:c r="D140" s="6">
        <x:f>_xlfn.MAXIFS($C$103:$C$112,$E$103:$E$112,"&gt;="&amp;90)</x:f>
      </x:c>
    </x:row>
    <x:row r="141" spans="2:11" x14ac:dyDescent="0.2">
      <x:c r="B141" s="3" t="s">
        <x:v>104</x:v>
      </x:c>
      <x:c r="C141" s="14" t="s">
        <x:v>105</x:v>
      </x:c>
      <x:c r="D141" s="6">
        <x:f>_xlfn.MAXIFS($C$103:$C$112,$E$103:$E$112,"&lt;"&amp;70)</x:f>
      </x:c>
    </x:row>
    <x:row r="142" spans="2:11" x14ac:dyDescent="0.2">
      <x:c r="B142" s="3" t="s">
        <x:v>106</x:v>
      </x:c>
      <x:c r="C142" s="14" t="s">
        <x:v>107</x:v>
      </x:c>
      <x:c r="D142" s="6">
        <x:f>_xlfn.MAXIFS($E$103:$E$112,$D$103:$D$112,"A",$F$103:$F$112,"East")</x:f>
      </x:c>
    </x:row>
    <x:row r="143" spans="2:11" x14ac:dyDescent="0.2">
      <x:c r="B143" s="3" t="s">
        <x:v>108</x:v>
      </x:c>
      <x:c r="C143" s="14" t="s">
        <x:v>109</x:v>
      </x:c>
      <x:c r="D143" s="6">
        <x:f>_xlfn.MAXIFS($E$103:$E$112,$D$103:$D$112,"B",$E$103:$E$112,"&gt;"&amp;60)</x:f>
      </x:c>
    </x:row>
    <x:row r="144" spans="2:11" x14ac:dyDescent="0.2">
      <x:c r="B144" s="3" t="s">
        <x:v>110</x:v>
      </x:c>
      <x:c r="C144" s="14" t="s">
        <x:v>111</x:v>
      </x:c>
      <x:c r="D144" s="6">
        <x:f>_xlfn.MAXIFS($C$103:$C$112,$C$103:$C$112,"&gt;"&amp;0,$C$103:$C$112,"&lt;"&amp;20)</x:f>
      </x:c>
    </x:row>
    <x:row r="145" spans="2:11" x14ac:dyDescent="0.2">
      <x:c r="B145" s="3" t="s">
        <x:v>112</x:v>
      </x:c>
      <x:c r="C145" s="14" t="s">
        <x:v>113</x:v>
      </x:c>
      <x:c r="D145" s="6">
        <x:f>_xlfn.MAXIFS($C$103:$C$112,$D$103:$D$112,"Z")</x:f>
      </x:c>
    </x:row>
    <x:row r="146" spans="2:11" x14ac:dyDescent="0.2">
      <x:c r="B146" s="3" t="s">
        <x:v>114</x:v>
      </x:c>
      <x:c r="C146" s="14" t="s">
        <x:v>115</x:v>
      </x:c>
      <x:c r="D146" s="6">
        <x:f>_xlfn.MAXIFS($E$103:$E$112,$E$103:$E$112,"&gt;"&amp;100)</x:f>
      </x:c>
    </x:row>
    <x:row r="149" spans="2:11" x14ac:dyDescent="0.2">
      <x:c r="B149" s="10" t="s">
        <x:v>0</x:v>
      </x:c>
      <x:c r="C149" s="4"/>
      <x:c r="D149" s="4"/>
      <x:c r="E149" s="4"/>
      <x:c r="F149" s="4"/>
      <x:c r="G149" s="4"/>
      <x:c r="H149" s="4"/>
      <x:c r="I149" s="4"/>
      <x:c r="J149" s="4"/>
      <x:c r="K149" s="4"/>
    </x:row>
    <x:row r="150" spans="2:11" x14ac:dyDescent="0.2">
      <x:c r="B150" s="15" t="e">
        <x:v>#N/A</x:v>
      </x:c>
      <x:c r="C150" s="13" t="s">
        <x:v>116</x:v>
      </x:c>
    </x:row>
    <x:row r="151" spans="2:11" x14ac:dyDescent="0.2">
      <x:c r="B151" s="15" t="e">
        <x:v>#NUM!</x:v>
      </x:c>
      <x:c r="C151" s="13" t="s">
        <x:v>117</x:v>
      </x:c>
    </x:row>
    <x:row r="152" spans="2:11" x14ac:dyDescent="0.2">
      <x:c r="B152" s="15" t="e">
        <x:v>#DIV/0!</x:v>
      </x:c>
      <x:c r="C152" s="13" t="s">
        <x:v>118</x:v>
      </x:c>
    </x:row>
    <x:row r="153" spans="2:11" x14ac:dyDescent="0.2">
      <x:c r="B153" s="15" t="e">
        <x:v>#VALUE!</x:v>
      </x:c>
      <x:c r="C153" s="13" t="s">
        <x:v>119</x:v>
      </x:c>
    </x:row>
    <x:row r="154" spans="2:11" x14ac:dyDescent="0.2">
      <x:c r="B154" s="16" t="s">
        <x:v>130</x:v>
      </x:c>
      <x:c r="C154" s="13" t="s">
        <x:v>120</x:v>
      </x:c>
    </x:row>
    <x:row r="155" spans="2:11" x14ac:dyDescent="0.2">
      <x:c r="B155" s="15" t="s">
        <x:v>121</x:v>
      </x:c>
      <x:c r="C155" s="13" t="s">
        <x:v>122</x:v>
      </x:c>
    </x:row>
    <x:row r="156" spans="2:11" x14ac:dyDescent="0.2">
      <x:c r="B156" s="15" t="s">
        <x:v>123</x:v>
      </x:c>
      <x:c r="C156" s="13" t="s">
        <x:v>124</x:v>
      </x:c>
    </x:row>
    <x:row r="157" spans="2:11" x14ac:dyDescent="0.2">
      <x:c r="B157" s="15" t="s">
        <x:v>125</x:v>
      </x:c>
      <x:c r="C157" s="13" t="s">
        <x:v>126</x:v>
      </x:c>
    </x:row>
    <x:row r="158" spans="2:11" x14ac:dyDescent="0.2">
      <x:c r="B158" s="15" t="s">
        <x:v>31</x:v>
      </x:c>
      <x:c r="C158" s="13" t="s">
        <x:v>127</x:v>
      </x:c>
    </x:row>
    <x:row r="159" spans="2:11" x14ac:dyDescent="0.2">
      <x:c r="B159" s="15" t="s">
        <x:v>128</x:v>
      </x:c>
      <x:c r="C159" s="13" t="s">
        <x:v>129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2026-02-09T23:04:40Z</dcterms:created>
  <dcterms:modified xsi:type="dcterms:W3CDTF">2026-02-09T23:11:14Z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1c4a88ff-7306-4c1b-9a1b-b745f1566017</vt:lpwstr>
  </property>
</Properties>
</file>