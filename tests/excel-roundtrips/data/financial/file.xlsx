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financial/"/>
    </mc:Choice>
  </mc:AlternateContent>
  <xr:revisionPtr revIDLastSave="0" documentId="8_{93F99AB7-B525-7349-A3B6-7731FBCDE6C1}" xr6:coauthVersionLast="47" xr6:coauthVersionMax="47" xr10:uidLastSave="{00000000-0000-0000-0000-000000000000}"/>
  <bookViews>
    <workbookView xWindow="3320" yWindow="1860" windowWidth="29700" windowHeight="19620" xr2:uid="{CBB0D7E8-1790-9042-9BD9-D40641B906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6" i="1" l="1"/>
  <c r="D196" i="1"/>
  <c r="E196" i="1"/>
  <c r="C195" i="1"/>
  <c r="D195" i="1"/>
  <c r="E195" i="1"/>
  <c r="C194" i="1"/>
  <c r="D194" i="1"/>
  <c r="E194" i="1"/>
  <c r="C189" i="1"/>
  <c r="D189" i="1"/>
  <c r="E189" i="1"/>
  <c r="B189" i="1"/>
  <c r="C188" i="1"/>
  <c r="D188" i="1"/>
  <c r="E188" i="1"/>
  <c r="B188" i="1"/>
  <c r="C187" i="1"/>
  <c r="D187" i="1"/>
  <c r="E187" i="1"/>
  <c r="B187" i="1"/>
  <c r="C186" i="1"/>
  <c r="D186" i="1"/>
  <c r="E186" i="1"/>
  <c r="B186" i="1"/>
  <c r="C185" i="1"/>
  <c r="D185" i="1"/>
  <c r="E185" i="1"/>
  <c r="B185" i="1"/>
  <c r="C184" i="1"/>
  <c r="D184" i="1"/>
  <c r="E184" i="1"/>
  <c r="B184" i="1"/>
  <c r="C179" i="1"/>
  <c r="D179" i="1"/>
  <c r="B179" i="1"/>
  <c r="C178" i="1"/>
  <c r="D178" i="1"/>
  <c r="B178" i="1"/>
  <c r="C177" i="1"/>
  <c r="D177" i="1"/>
  <c r="B177" i="1"/>
  <c r="C176" i="1"/>
  <c r="D176" i="1"/>
  <c r="C174" i="1"/>
  <c r="D174" i="1"/>
  <c r="B174" i="1"/>
  <c r="C173" i="1"/>
  <c r="D173" i="1"/>
  <c r="B173" i="1"/>
  <c r="C172" i="1"/>
  <c r="D172" i="1"/>
  <c r="B172" i="1"/>
  <c r="C171" i="1"/>
  <c r="D171" i="1"/>
  <c r="C167" i="1"/>
  <c r="D167" i="1"/>
  <c r="B167" i="1"/>
  <c r="C166" i="1"/>
  <c r="D166" i="1"/>
  <c r="B166" i="1"/>
  <c r="C165" i="1"/>
  <c r="D165" i="1"/>
  <c r="B165" i="1"/>
  <c r="C164" i="1"/>
  <c r="D164" i="1"/>
  <c r="C160" i="1"/>
  <c r="D160" i="1"/>
  <c r="B160" i="1"/>
  <c r="C159" i="1"/>
  <c r="D159" i="1"/>
  <c r="B159" i="1"/>
  <c r="C158" i="1"/>
  <c r="D158" i="1"/>
  <c r="C154" i="1"/>
  <c r="D154" i="1"/>
  <c r="E154" i="1"/>
  <c r="F154" i="1"/>
  <c r="G154" i="1"/>
  <c r="B154" i="1"/>
  <c r="C153" i="1"/>
  <c r="D153" i="1"/>
  <c r="E153" i="1"/>
  <c r="F153" i="1"/>
  <c r="G153" i="1"/>
  <c r="B153" i="1"/>
  <c r="C152" i="1"/>
  <c r="D152" i="1"/>
  <c r="E152" i="1"/>
  <c r="F152" i="1"/>
  <c r="G152" i="1"/>
  <c r="B152" i="1"/>
  <c r="C151" i="1"/>
  <c r="D151" i="1"/>
  <c r="E151" i="1"/>
  <c r="F151" i="1"/>
  <c r="G151" i="1"/>
  <c r="B151" i="1"/>
  <c r="C150" i="1"/>
  <c r="D150" i="1"/>
  <c r="E150" i="1"/>
  <c r="F150" i="1"/>
  <c r="G150" i="1"/>
  <c r="B150" i="1"/>
  <c r="C149" i="1"/>
  <c r="D149" i="1"/>
  <c r="E149" i="1"/>
  <c r="F149" i="1"/>
  <c r="G149" i="1"/>
  <c r="B149" i="1"/>
  <c r="C148" i="1"/>
  <c r="D148" i="1"/>
  <c r="E148" i="1"/>
  <c r="F148" i="1"/>
  <c r="G148" i="1"/>
  <c r="C144" i="1"/>
  <c r="D144" i="1"/>
  <c r="E144" i="1"/>
  <c r="F144" i="1"/>
  <c r="G144" i="1"/>
  <c r="B144" i="1"/>
  <c r="C143" i="1"/>
  <c r="D143" i="1"/>
  <c r="E143" i="1"/>
  <c r="F143" i="1"/>
  <c r="G143" i="1"/>
  <c r="B143" i="1"/>
  <c r="C142" i="1"/>
  <c r="D142" i="1"/>
  <c r="E142" i="1"/>
  <c r="F142" i="1"/>
  <c r="G142" i="1"/>
  <c r="B142" i="1"/>
  <c r="C141" i="1"/>
  <c r="D141" i="1"/>
  <c r="E141" i="1"/>
  <c r="F141" i="1"/>
  <c r="G141" i="1"/>
  <c r="B141" i="1"/>
  <c r="C140" i="1"/>
  <c r="D140" i="1"/>
  <c r="E140" i="1"/>
  <c r="F140" i="1"/>
  <c r="G140" i="1"/>
  <c r="B140" i="1"/>
  <c r="C139" i="1"/>
  <c r="D139" i="1"/>
  <c r="E139" i="1"/>
  <c r="F139" i="1"/>
  <c r="G139" i="1"/>
  <c r="B139" i="1"/>
  <c r="C138" i="1"/>
  <c r="D138" i="1"/>
  <c r="E138" i="1"/>
  <c r="F138" i="1"/>
  <c r="G138" i="1"/>
  <c r="C134" i="1"/>
  <c r="D134" i="1"/>
  <c r="E134" i="1"/>
  <c r="C133" i="1"/>
  <c r="D133" i="1"/>
  <c r="E133" i="1"/>
  <c r="C132" i="1"/>
  <c r="D132" i="1"/>
  <c r="E132" i="1"/>
  <c r="C127" i="1"/>
  <c r="D127" i="1"/>
  <c r="E127" i="1"/>
  <c r="B127" i="1"/>
  <c r="C126" i="1"/>
  <c r="D126" i="1"/>
  <c r="E126" i="1"/>
  <c r="B126" i="1"/>
  <c r="C125" i="1"/>
  <c r="D125" i="1"/>
  <c r="E125" i="1"/>
  <c r="B125" i="1"/>
  <c r="C124" i="1"/>
  <c r="D124" i="1"/>
  <c r="E124" i="1"/>
  <c r="B124" i="1"/>
  <c r="C123" i="1"/>
  <c r="D123" i="1"/>
  <c r="E123" i="1"/>
  <c r="B123" i="1"/>
  <c r="C122" i="1"/>
  <c r="D122" i="1"/>
  <c r="E122" i="1"/>
  <c r="B122" i="1"/>
  <c r="C117" i="1"/>
  <c r="D117" i="1"/>
  <c r="E117" i="1"/>
  <c r="F117" i="1"/>
  <c r="G117" i="1"/>
  <c r="H117" i="1"/>
  <c r="B117" i="1"/>
  <c r="C116" i="1"/>
  <c r="D116" i="1"/>
  <c r="E116" i="1"/>
  <c r="F116" i="1"/>
  <c r="G116" i="1"/>
  <c r="H116" i="1"/>
  <c r="B116" i="1"/>
  <c r="C115" i="1"/>
  <c r="D115" i="1"/>
  <c r="E115" i="1"/>
  <c r="F115" i="1"/>
  <c r="G115" i="1"/>
  <c r="H115" i="1"/>
  <c r="B115" i="1"/>
  <c r="C114" i="1"/>
  <c r="D114" i="1"/>
  <c r="E114" i="1"/>
  <c r="F114" i="1"/>
  <c r="G114" i="1"/>
  <c r="H114" i="1"/>
  <c r="B114" i="1"/>
  <c r="C113" i="1"/>
  <c r="D113" i="1"/>
  <c r="E113" i="1"/>
  <c r="F113" i="1"/>
  <c r="G113" i="1"/>
  <c r="H113" i="1"/>
  <c r="B113" i="1"/>
  <c r="C112" i="1"/>
  <c r="D112" i="1"/>
  <c r="E112" i="1"/>
  <c r="F112" i="1"/>
  <c r="G112" i="1"/>
  <c r="H112" i="1"/>
  <c r="B112" i="1"/>
  <c r="C111" i="1"/>
  <c r="D111" i="1"/>
  <c r="E111" i="1"/>
  <c r="F111" i="1"/>
  <c r="G111" i="1"/>
  <c r="H111" i="1"/>
  <c r="C108" i="1"/>
  <c r="D108" i="1"/>
  <c r="E108" i="1"/>
  <c r="F108" i="1"/>
  <c r="G108" i="1"/>
  <c r="H108" i="1"/>
  <c r="B108" i="1"/>
  <c r="C107" i="1"/>
  <c r="D107" i="1"/>
  <c r="E107" i="1"/>
  <c r="F107" i="1"/>
  <c r="G107" i="1"/>
  <c r="H107" i="1"/>
  <c r="B107" i="1"/>
  <c r="C106" i="1"/>
  <c r="D106" i="1"/>
  <c r="E106" i="1"/>
  <c r="F106" i="1"/>
  <c r="G106" i="1"/>
  <c r="H106" i="1"/>
  <c r="B106" i="1"/>
  <c r="C105" i="1"/>
  <c r="D105" i="1"/>
  <c r="E105" i="1"/>
  <c r="F105" i="1"/>
  <c r="G105" i="1"/>
  <c r="H105" i="1"/>
  <c r="B105" i="1"/>
  <c r="C104" i="1"/>
  <c r="D104" i="1"/>
  <c r="E104" i="1"/>
  <c r="F104" i="1"/>
  <c r="G104" i="1"/>
  <c r="H104" i="1"/>
  <c r="B104" i="1"/>
  <c r="C103" i="1"/>
  <c r="D103" i="1"/>
  <c r="E103" i="1"/>
  <c r="F103" i="1"/>
  <c r="G103" i="1"/>
  <c r="H103" i="1"/>
  <c r="B103" i="1"/>
  <c r="C102" i="1"/>
  <c r="D102" i="1"/>
  <c r="E102" i="1"/>
  <c r="F102" i="1"/>
  <c r="G102" i="1"/>
  <c r="H102" i="1"/>
  <c r="C98" i="1"/>
  <c r="D98" i="1"/>
  <c r="E98" i="1"/>
  <c r="F98" i="1"/>
  <c r="G98" i="1"/>
  <c r="H98" i="1"/>
  <c r="B98" i="1"/>
  <c r="C97" i="1"/>
  <c r="D97" i="1"/>
  <c r="E97" i="1"/>
  <c r="F97" i="1"/>
  <c r="G97" i="1"/>
  <c r="H97" i="1"/>
  <c r="B97" i="1"/>
  <c r="C96" i="1"/>
  <c r="D96" i="1"/>
  <c r="E96" i="1"/>
  <c r="F96" i="1"/>
  <c r="G96" i="1"/>
  <c r="H96" i="1"/>
  <c r="B96" i="1"/>
  <c r="C95" i="1"/>
  <c r="D95" i="1"/>
  <c r="E95" i="1"/>
  <c r="F95" i="1"/>
  <c r="G95" i="1"/>
  <c r="H95" i="1"/>
  <c r="B95" i="1"/>
  <c r="C94" i="1"/>
  <c r="D94" i="1"/>
  <c r="E94" i="1"/>
  <c r="F94" i="1"/>
  <c r="G94" i="1"/>
  <c r="H94" i="1"/>
  <c r="B94" i="1"/>
  <c r="C93" i="1"/>
  <c r="D93" i="1"/>
  <c r="E93" i="1"/>
  <c r="F93" i="1"/>
  <c r="G93" i="1"/>
  <c r="H93" i="1"/>
  <c r="B93" i="1"/>
  <c r="C92" i="1"/>
  <c r="D92" i="1"/>
  <c r="E92" i="1"/>
  <c r="F92" i="1"/>
  <c r="G92" i="1"/>
  <c r="H92" i="1"/>
  <c r="C89" i="1"/>
  <c r="D89" i="1"/>
  <c r="E89" i="1"/>
  <c r="F89" i="1"/>
  <c r="G89" i="1"/>
  <c r="H89" i="1"/>
  <c r="B89" i="1"/>
  <c r="C88" i="1"/>
  <c r="D88" i="1"/>
  <c r="E88" i="1"/>
  <c r="F88" i="1"/>
  <c r="G88" i="1"/>
  <c r="H88" i="1"/>
  <c r="B88" i="1"/>
  <c r="C87" i="1"/>
  <c r="D87" i="1"/>
  <c r="E87" i="1"/>
  <c r="F87" i="1"/>
  <c r="G87" i="1"/>
  <c r="H87" i="1"/>
  <c r="B87" i="1"/>
  <c r="C86" i="1"/>
  <c r="D86" i="1"/>
  <c r="E86" i="1"/>
  <c r="F86" i="1"/>
  <c r="G86" i="1"/>
  <c r="H86" i="1"/>
  <c r="B86" i="1"/>
  <c r="C85" i="1"/>
  <c r="D85" i="1"/>
  <c r="E85" i="1"/>
  <c r="F85" i="1"/>
  <c r="G85" i="1"/>
  <c r="H85" i="1"/>
  <c r="B85" i="1"/>
  <c r="C84" i="1"/>
  <c r="D84" i="1"/>
  <c r="E84" i="1"/>
  <c r="F84" i="1"/>
  <c r="G84" i="1"/>
  <c r="H84" i="1"/>
  <c r="B84" i="1"/>
  <c r="C83" i="1"/>
  <c r="D83" i="1"/>
  <c r="E83" i="1"/>
  <c r="F83" i="1"/>
  <c r="G83" i="1"/>
  <c r="H83" i="1"/>
  <c r="B75" i="1"/>
  <c r="B76" i="1"/>
  <c r="B77" i="1"/>
  <c r="B78" i="1"/>
  <c r="B79" i="1"/>
  <c r="B80" i="1"/>
  <c r="B66" i="1"/>
  <c r="B67" i="1"/>
  <c r="B68" i="1"/>
  <c r="B69" i="1"/>
  <c r="B70" i="1"/>
  <c r="B71" i="1"/>
  <c r="C74" i="1"/>
  <c r="D74" i="1"/>
  <c r="E74" i="1"/>
  <c r="F74" i="1"/>
  <c r="G74" i="1"/>
  <c r="H74" i="1"/>
  <c r="C65" i="1"/>
  <c r="D65" i="1"/>
  <c r="E65" i="1"/>
  <c r="F65" i="1"/>
  <c r="G65" i="1"/>
  <c r="H65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</calcChain>
</file>

<file path=xl/sharedStrings.xml><?xml version="1.0" encoding="utf-8"?>
<sst xmlns="http://schemas.openxmlformats.org/spreadsheetml/2006/main" count="109" uniqueCount="82">
  <si>
    <t>Test Input Values</t>
  </si>
  <si>
    <t>A \ B</t>
  </si>
  <si>
    <t>FINANCIAL FUNCTIONS TEST SUITE</t>
  </si>
  <si>
    <t>Rate 0%</t>
  </si>
  <si>
    <t>Rate 1%</t>
  </si>
  <si>
    <t>Rate 5%</t>
  </si>
  <si>
    <t>Rate 8%</t>
  </si>
  <si>
    <t>Rate 10%</t>
  </si>
  <si>
    <t>Rate 15%</t>
  </si>
  <si>
    <t>Nper 1</t>
  </si>
  <si>
    <t>Nper 6</t>
  </si>
  <si>
    <t>Nper 12</t>
  </si>
  <si>
    <t>Nper 24</t>
  </si>
  <si>
    <t>Nper 60</t>
  </si>
  <si>
    <t>Nper 360</t>
  </si>
  <si>
    <t>PV -1000</t>
  </si>
  <si>
    <t>PV -10000</t>
  </si>
  <si>
    <t>PV -100000</t>
  </si>
  <si>
    <t>PV 0</t>
  </si>
  <si>
    <t>PV 50000</t>
  </si>
  <si>
    <t>PMT -100</t>
  </si>
  <si>
    <t>PMT -500</t>
  </si>
  <si>
    <t>PMT -1000</t>
  </si>
  <si>
    <t>PMT 0</t>
  </si>
  <si>
    <t>PMT 200</t>
  </si>
  <si>
    <t>FV 0</t>
  </si>
  <si>
    <t>FV 1000</t>
  </si>
  <si>
    <t>FV 10000</t>
  </si>
  <si>
    <t>FV 50000</t>
  </si>
  <si>
    <t>Type End</t>
  </si>
  <si>
    <t>Type Begin</t>
  </si>
  <si>
    <t>Cost 10000</t>
  </si>
  <si>
    <t>Cost 50000</t>
  </si>
  <si>
    <t>Salvage 1000</t>
  </si>
  <si>
    <t>Salvage 5000</t>
  </si>
  <si>
    <t>Life 5</t>
  </si>
  <si>
    <t>Life 10</t>
  </si>
  <si>
    <t>Period 1</t>
  </si>
  <si>
    <t>Period 2</t>
  </si>
  <si>
    <t>Period 3</t>
  </si>
  <si>
    <t>Date 0</t>
  </si>
  <si>
    <t>Date 1</t>
  </si>
  <si>
    <t>Date 2</t>
  </si>
  <si>
    <t>Date 3</t>
  </si>
  <si>
    <t>Date 4</t>
  </si>
  <si>
    <t>CF Set A: CF0</t>
  </si>
  <si>
    <t>CF Set A: CF1</t>
  </si>
  <si>
    <t>CF Set A: CF2</t>
  </si>
  <si>
    <t>CF Set A: CF3</t>
  </si>
  <si>
    <t>CF Set A: CF4</t>
  </si>
  <si>
    <t>CF Set B: CF0</t>
  </si>
  <si>
    <t>CF Set B: CF1</t>
  </si>
  <si>
    <t>CF Set B: CF2</t>
  </si>
  <si>
    <t>CF Set B: CF3</t>
  </si>
  <si>
    <t>CF Set B: CF4</t>
  </si>
  <si>
    <t>CF Set C: CF0</t>
  </si>
  <si>
    <t>CF Set C: CF1</t>
  </si>
  <si>
    <t>CF Set C: CF2</t>
  </si>
  <si>
    <t>CF Set C: CF3</t>
  </si>
  <si>
    <t>CF Set C: CF4</t>
  </si>
  <si>
    <t>1. PMT (Rate × Nper, PV=-10000, FV=0, Type=0)</t>
  </si>
  <si>
    <t>PMT with Type=1 (Begin)</t>
  </si>
  <si>
    <t>2. FV (Rate × Nper, PMT=-100, PV=0, Type=0)</t>
  </si>
  <si>
    <t>FV with PV=-10000, Type=1</t>
  </si>
  <si>
    <t>3. PV (Rate × Nper, PMT=-100, FV=0, Type=0)</t>
  </si>
  <si>
    <t>PV with FV=10000, Type=1</t>
  </si>
  <si>
    <t>4. NPV (Rate × Cash Flow Sets)</t>
  </si>
  <si>
    <t>Set A</t>
  </si>
  <si>
    <t>Set B</t>
  </si>
  <si>
    <t>Set C</t>
  </si>
  <si>
    <t>5. IRR (Cash Flow Sets × Guess Values)</t>
  </si>
  <si>
    <t>Guess=0.1</t>
  </si>
  <si>
    <t>Guess=0.2</t>
  </si>
  <si>
    <t>Guess=0.5</t>
  </si>
  <si>
    <t>6. RATE (Nper × PV, PMT=-100)</t>
  </si>
  <si>
    <t>7. NPER (Rate × PMT, PV=-10000)</t>
  </si>
  <si>
    <t>8. SLN (Cost × Salvage, Life=5)</t>
  </si>
  <si>
    <t>9. DB (Period × Life, Cost=10000, Salvage=1000)</t>
  </si>
  <si>
    <t>10. DDB (Period × Life, Cost=10000, Salvage=1000)</t>
  </si>
  <si>
    <t>DDB with Factor=1.5</t>
  </si>
  <si>
    <t>11. XNPV (Rate × Cash Flow Sets with Dates)</t>
  </si>
  <si>
    <t>12. XIRR (Cash Flow Sets × Guess Values with Dates)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</si>
</sst>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1" fontId="4" fillId="0" borderId="0" xfId="0" applyNumberFormat="1" applyFont="1"/>
    <xf numFmtId="0" fontId="3" fillId="0" borderId="0" xfId="0" applyFont="1"/>
    <xf numFmtId="0" fontId="6" fillId="2" borderId="0" xfId="0" applyFont="1" applyFill="1"/>
    <xf numFmtId="11" fontId="2" fillId="0" borderId="0" xfId="0" applyNumberFormat="1" applyFont="1" applyAlignment="1">
      <alignment horizontal="center"/>
    </xf>
    <xf numFmtId="11" fontId="6" fillId="2" borderId="0" xfId="0" applyNumberFormat="1" applyFont="1" applyFill="1"/>
    <xf numFmtId="0" fontId="6" fillId="0" borderId="0" xfId="0" applyFont="1"/>
    <xf numFmtId="164" fontId="4" fillId="0" borderId="0" xfId="0" applyNumberFormat="1" applyFont="1"/>
    <xf numFmtId="0" fontId="3" fillId="2" borderId="0" xfId="0" applyFont="1" applyFill="1"/>
    <xf numFmtId="0" fontId="6" fillId="3" borderId="0" xfId="0" applyFont="1" applyFill="1" applyAlignment="1">
      <alignment horizontal="center"/>
    </xf>
    <xf numFmtId="11" fontId="6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ED91EF-73A8-724A-88FB-A8BEDFF1787D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E9CC-ECB3-BF4A-8D84-85FA7B167614}">
  <dimension ref="B2:H196"/>
  <sheetViews>
    <sheetView tabSelected="1" workbookViewId="0">
      <selection activeCell="H19" sqref="H19"/>
    </sheetView>
  </sheetViews>
  <sheetFormatPr baseColWidth="10" defaultRowHeight="16" x14ac:dyDescent="0.2"/>
  <cols>
    <col min="2" max="2" width="45" bestFit="1" customWidth="1"/>
    <col min="3" max="3" width="10.1640625" bestFit="1" customWidth="1"/>
    <col min="4" max="5" width="9.5" bestFit="1" customWidth="1"/>
    <col min="6" max="7" width="9.1640625" bestFit="1" customWidth="1"/>
    <col min="8" max="8" width="8.6640625" bestFit="1" customWidth="1"/>
  </cols>
  <sheetData>
    <row r="2" spans="2:3" ht="19" x14ac:dyDescent="0.25">
      <c r="B2" s="1" t="s">
        <v>2</v>
      </c>
    </row>
    <row r="3" spans="2:3" x14ac:dyDescent="0.2">
      <c r="B3" s="2"/>
    </row>
    <row r="4" spans="2:3" x14ac:dyDescent="0.2">
      <c r="B4" s="5" t="s">
        <v>0</v>
      </c>
      <c r="C4" s="5"/>
    </row>
    <row r="5" spans="2:3" x14ac:dyDescent="0.2">
      <c r="B5" s="3" t="s">
        <v>3</v>
      </c>
      <c r="C5" s="4">
        <v>0</v>
      </c>
    </row>
    <row r="6" spans="2:3" x14ac:dyDescent="0.2">
      <c r="B6" s="3" t="s">
        <v>4</v>
      </c>
      <c r="C6" s="4">
        <v>0.01</v>
      </c>
    </row>
    <row r="7" spans="2:3" x14ac:dyDescent="0.2">
      <c r="B7" s="3" t="s">
        <v>5</v>
      </c>
      <c r="C7" s="4">
        <v>0.05</v>
      </c>
    </row>
    <row r="8" spans="2:3" x14ac:dyDescent="0.2">
      <c r="B8" s="3" t="s">
        <v>6</v>
      </c>
      <c r="C8" s="4">
        <v>0.08</v>
      </c>
    </row>
    <row r="9" spans="2:3" x14ac:dyDescent="0.2">
      <c r="B9" s="3" t="s">
        <v>7</v>
      </c>
      <c r="C9" s="4">
        <v>0.1</v>
      </c>
    </row>
    <row r="10" spans="2:3" x14ac:dyDescent="0.2">
      <c r="B10" s="3" t="s">
        <v>8</v>
      </c>
      <c r="C10" s="4">
        <v>0.15</v>
      </c>
    </row>
    <row r="11" spans="2:3" x14ac:dyDescent="0.2">
      <c r="B11" s="3" t="s">
        <v>9</v>
      </c>
      <c r="C11" s="4">
        <v>1</v>
      </c>
    </row>
    <row r="12" spans="2:3" x14ac:dyDescent="0.2">
      <c r="B12" s="3" t="s">
        <v>10</v>
      </c>
      <c r="C12" s="4">
        <v>6</v>
      </c>
    </row>
    <row r="13" spans="2:3" x14ac:dyDescent="0.2">
      <c r="B13" s="3" t="s">
        <v>11</v>
      </c>
      <c r="C13" s="4">
        <v>12</v>
      </c>
    </row>
    <row r="14" spans="2:3" x14ac:dyDescent="0.2">
      <c r="B14" s="3" t="s">
        <v>12</v>
      </c>
      <c r="C14" s="4">
        <v>24</v>
      </c>
    </row>
    <row r="15" spans="2:3" x14ac:dyDescent="0.2">
      <c r="B15" s="3" t="s">
        <v>13</v>
      </c>
      <c r="C15" s="4">
        <v>60</v>
      </c>
    </row>
    <row r="16" spans="2:3" x14ac:dyDescent="0.2">
      <c r="B16" s="3" t="s">
        <v>14</v>
      </c>
      <c r="C16" s="4">
        <v>360</v>
      </c>
    </row>
    <row r="17" spans="2:3" x14ac:dyDescent="0.2">
      <c r="B17" s="3" t="s">
        <v>15</v>
      </c>
      <c r="C17" s="4">
        <v>-1000</v>
      </c>
    </row>
    <row r="18" spans="2:3" x14ac:dyDescent="0.2">
      <c r="B18" s="3" t="s">
        <v>16</v>
      </c>
      <c r="C18" s="4">
        <v>-10000</v>
      </c>
    </row>
    <row r="19" spans="2:3" x14ac:dyDescent="0.2">
      <c r="B19" s="3" t="s">
        <v>17</v>
      </c>
      <c r="C19" s="4">
        <v>-100000</v>
      </c>
    </row>
    <row r="20" spans="2:3" x14ac:dyDescent="0.2">
      <c r="B20" s="3" t="s">
        <v>18</v>
      </c>
      <c r="C20" s="4">
        <v>0</v>
      </c>
    </row>
    <row r="21" spans="2:3" x14ac:dyDescent="0.2">
      <c r="B21" s="3" t="s">
        <v>19</v>
      </c>
      <c r="C21" s="4">
        <v>50000</v>
      </c>
    </row>
    <row r="22" spans="2:3" x14ac:dyDescent="0.2">
      <c r="B22" s="3" t="s">
        <v>20</v>
      </c>
      <c r="C22" s="4">
        <v>-100</v>
      </c>
    </row>
    <row r="23" spans="2:3" x14ac:dyDescent="0.2">
      <c r="B23" s="3" t="s">
        <v>21</v>
      </c>
      <c r="C23" s="4">
        <v>-500</v>
      </c>
    </row>
    <row r="24" spans="2:3" x14ac:dyDescent="0.2">
      <c r="B24" s="3" t="s">
        <v>22</v>
      </c>
      <c r="C24" s="4">
        <v>-1000</v>
      </c>
    </row>
    <row r="25" spans="2:3" x14ac:dyDescent="0.2">
      <c r="B25" s="3" t="s">
        <v>23</v>
      </c>
      <c r="C25" s="4">
        <v>0</v>
      </c>
    </row>
    <row r="26" spans="2:3" x14ac:dyDescent="0.2">
      <c r="B26" s="3" t="s">
        <v>24</v>
      </c>
      <c r="C26" s="4">
        <v>200</v>
      </c>
    </row>
    <row r="27" spans="2:3" x14ac:dyDescent="0.2">
      <c r="B27" s="3" t="s">
        <v>25</v>
      </c>
      <c r="C27" s="4">
        <v>0</v>
      </c>
    </row>
    <row r="28" spans="2:3" x14ac:dyDescent="0.2">
      <c r="B28" s="3" t="s">
        <v>26</v>
      </c>
      <c r="C28" s="4">
        <v>1000</v>
      </c>
    </row>
    <row r="29" spans="2:3" x14ac:dyDescent="0.2">
      <c r="B29" s="3" t="s">
        <v>27</v>
      </c>
      <c r="C29" s="4">
        <v>10000</v>
      </c>
    </row>
    <row r="30" spans="2:3" x14ac:dyDescent="0.2">
      <c r="B30" s="3" t="s">
        <v>28</v>
      </c>
      <c r="C30" s="4">
        <v>50000</v>
      </c>
    </row>
    <row r="31" spans="2:3" x14ac:dyDescent="0.2">
      <c r="B31" s="3" t="s">
        <v>29</v>
      </c>
      <c r="C31" s="4">
        <v>0</v>
      </c>
    </row>
    <row r="32" spans="2:3" x14ac:dyDescent="0.2">
      <c r="B32" s="3" t="s">
        <v>30</v>
      </c>
      <c r="C32" s="4">
        <v>1</v>
      </c>
    </row>
    <row r="33" spans="2:3" x14ac:dyDescent="0.2">
      <c r="B33" s="3" t="s">
        <v>31</v>
      </c>
      <c r="C33" s="4">
        <v>10000</v>
      </c>
    </row>
    <row r="34" spans="2:3" x14ac:dyDescent="0.2">
      <c r="B34" s="3" t="s">
        <v>32</v>
      </c>
      <c r="C34" s="4">
        <v>50000</v>
      </c>
    </row>
    <row r="35" spans="2:3" x14ac:dyDescent="0.2">
      <c r="B35" s="3" t="s">
        <v>33</v>
      </c>
      <c r="C35" s="4">
        <v>1000</v>
      </c>
    </row>
    <row r="36" spans="2:3" x14ac:dyDescent="0.2">
      <c r="B36" s="3" t="s">
        <v>34</v>
      </c>
      <c r="C36" s="4">
        <v>5000</v>
      </c>
    </row>
    <row r="37" spans="2:3" x14ac:dyDescent="0.2">
      <c r="B37" s="3" t="s">
        <v>35</v>
      </c>
      <c r="C37" s="4">
        <v>5</v>
      </c>
    </row>
    <row r="38" spans="2:3" x14ac:dyDescent="0.2">
      <c r="B38" s="3" t="s">
        <v>36</v>
      </c>
      <c r="C38" s="4">
        <v>10</v>
      </c>
    </row>
    <row r="39" spans="2:3" x14ac:dyDescent="0.2">
      <c r="B39" s="3" t="s">
        <v>37</v>
      </c>
      <c r="C39" s="4">
        <v>1</v>
      </c>
    </row>
    <row r="40" spans="2:3" x14ac:dyDescent="0.2">
      <c r="B40" s="3" t="s">
        <v>38</v>
      </c>
      <c r="C40" s="4">
        <v>2</v>
      </c>
    </row>
    <row r="41" spans="2:3" x14ac:dyDescent="0.2">
      <c r="B41" s="3" t="s">
        <v>39</v>
      </c>
      <c r="C41" s="4">
        <v>3</v>
      </c>
    </row>
    <row r="42" spans="2:3" x14ac:dyDescent="0.2">
      <c r="B42" s="3" t="s">
        <v>40</v>
      </c>
      <c r="C42" s="10">
        <v>45658</v>
      </c>
    </row>
    <row r="43" spans="2:3" x14ac:dyDescent="0.2">
      <c r="B43" s="3" t="s">
        <v>41</v>
      </c>
      <c r="C43" s="10">
        <v>45839</v>
      </c>
    </row>
    <row r="44" spans="2:3" x14ac:dyDescent="0.2">
      <c r="B44" s="3" t="s">
        <v>42</v>
      </c>
      <c r="C44" s="10">
        <v>46023</v>
      </c>
    </row>
    <row r="45" spans="2:3" x14ac:dyDescent="0.2">
      <c r="B45" s="3" t="s">
        <v>43</v>
      </c>
      <c r="C45" s="10">
        <v>46204</v>
      </c>
    </row>
    <row r="46" spans="2:3" x14ac:dyDescent="0.2">
      <c r="B46" s="3" t="s">
        <v>44</v>
      </c>
      <c r="C46" s="10">
        <v>46388</v>
      </c>
    </row>
    <row r="47" spans="2:3" x14ac:dyDescent="0.2">
      <c r="B47" s="3" t="s">
        <v>45</v>
      </c>
      <c r="C47" s="4">
        <v>-10000</v>
      </c>
    </row>
    <row r="48" spans="2:3" x14ac:dyDescent="0.2">
      <c r="B48" s="3" t="s">
        <v>46</v>
      </c>
      <c r="C48" s="4">
        <v>3000</v>
      </c>
    </row>
    <row r="49" spans="2:3" x14ac:dyDescent="0.2">
      <c r="B49" s="3" t="s">
        <v>47</v>
      </c>
      <c r="C49" s="4">
        <v>4000</v>
      </c>
    </row>
    <row r="50" spans="2:3" x14ac:dyDescent="0.2">
      <c r="B50" s="3" t="s">
        <v>48</v>
      </c>
      <c r="C50" s="4">
        <v>5000</v>
      </c>
    </row>
    <row r="51" spans="2:3" x14ac:dyDescent="0.2">
      <c r="B51" s="3" t="s">
        <v>49</v>
      </c>
      <c r="C51" s="4">
        <v>2000</v>
      </c>
    </row>
    <row r="52" spans="2:3" x14ac:dyDescent="0.2">
      <c r="B52" s="3" t="s">
        <v>50</v>
      </c>
      <c r="C52" s="4">
        <v>-50000</v>
      </c>
    </row>
    <row r="53" spans="2:3" x14ac:dyDescent="0.2">
      <c r="B53" s="3" t="s">
        <v>51</v>
      </c>
      <c r="C53" s="4">
        <v>15000</v>
      </c>
    </row>
    <row r="54" spans="2:3" x14ac:dyDescent="0.2">
      <c r="B54" s="3" t="s">
        <v>52</v>
      </c>
      <c r="C54" s="4">
        <v>15000</v>
      </c>
    </row>
    <row r="55" spans="2:3" x14ac:dyDescent="0.2">
      <c r="B55" s="3" t="s">
        <v>53</v>
      </c>
      <c r="C55" s="4">
        <v>15000</v>
      </c>
    </row>
    <row r="56" spans="2:3" x14ac:dyDescent="0.2">
      <c r="B56" s="3" t="s">
        <v>54</v>
      </c>
      <c r="C56" s="4">
        <v>15000</v>
      </c>
    </row>
    <row r="57" spans="2:3" x14ac:dyDescent="0.2">
      <c r="B57" s="3" t="s">
        <v>55</v>
      </c>
      <c r="C57" s="4">
        <v>-1000</v>
      </c>
    </row>
    <row r="58" spans="2:3" x14ac:dyDescent="0.2">
      <c r="B58" s="3" t="s">
        <v>56</v>
      </c>
      <c r="C58" s="4">
        <v>500</v>
      </c>
    </row>
    <row r="59" spans="2:3" x14ac:dyDescent="0.2">
      <c r="B59" s="3" t="s">
        <v>57</v>
      </c>
      <c r="C59" s="4">
        <v>400</v>
      </c>
    </row>
    <row r="60" spans="2:3" x14ac:dyDescent="0.2">
      <c r="B60" s="3" t="s">
        <v>58</v>
      </c>
      <c r="C60" s="4">
        <v>300</v>
      </c>
    </row>
    <row r="61" spans="2:3" x14ac:dyDescent="0.2">
      <c r="B61" s="3" t="s">
        <v>59</v>
      </c>
      <c r="C61" s="4">
        <v>100</v>
      </c>
    </row>
    <row r="63" spans="2:3" x14ac:dyDescent="0.2">
      <c r="B63" s="2"/>
    </row>
    <row r="64" spans="2:3" x14ac:dyDescent="0.2">
      <c r="B64" s="11" t="s">
        <v>60</v>
      </c>
    </row>
    <row r="65" spans="2:8" x14ac:dyDescent="0.2">
      <c r="B65" s="14" t="s">
        <v>1</v>
      </c>
      <c r="C65" s="13">
        <f>$C$11</f>
        <v>1</v>
      </c>
      <c r="D65" s="13">
        <f>$C$12</f>
        <v>6</v>
      </c>
      <c r="E65" s="13">
        <f>$C$13</f>
        <v>12</v>
      </c>
      <c r="F65" s="13">
        <f>$C$14</f>
        <v>24</v>
      </c>
      <c r="G65" s="13">
        <f>$C$15</f>
        <v>60</v>
      </c>
      <c r="H65" s="13">
        <f>$C$16</f>
        <v>360</v>
      </c>
    </row>
    <row r="66" spans="2:8" x14ac:dyDescent="0.2">
      <c r="B66" s="8">
        <f>$C$5</f>
        <v>0</v>
      </c>
      <c r="C66" s="7">
        <f>PMT($C$5,$C$11,$C$18,0,0)</f>
        <v>10000</v>
      </c>
      <c r="D66" s="7">
        <f>PMT($C$5,$C$12,$C$18,0,0)</f>
        <v>1666.6666666666667</v>
      </c>
      <c r="E66" s="7">
        <f>PMT($C$5,$C$13,$C$18,0,0)</f>
        <v>833.33333333333337</v>
      </c>
      <c r="F66" s="7">
        <f>PMT($C$5,$C$14,$C$18,0,0)</f>
        <v>416.66666666666669</v>
      </c>
      <c r="G66" s="7">
        <f>PMT($C$5,$C$15,$C$18,0,0)</f>
        <v>166.66666666666666</v>
      </c>
      <c r="H66" s="7">
        <f>PMT($C$5,$C$16,$C$18,0,0)</f>
        <v>27.777777777777779</v>
      </c>
    </row>
    <row r="67" spans="2:8" x14ac:dyDescent="0.2">
      <c r="B67" s="8">
        <f>$C$6</f>
        <v>0.01</v>
      </c>
      <c r="C67" s="7">
        <f>PMT($C$6,$C$11,$C$18,0,0)</f>
        <v>10099.999999999998</v>
      </c>
      <c r="D67" s="7">
        <f>PMT($C$6,$C$12,$C$18,0,0)</f>
        <v>1725.4836671088142</v>
      </c>
      <c r="E67" s="7">
        <f>PMT($C$6,$C$13,$C$18,0,0)</f>
        <v>888.48788678341691</v>
      </c>
      <c r="F67" s="7">
        <f>PMT($C$6,$C$14,$C$18,0,0)</f>
        <v>470.73472223264707</v>
      </c>
      <c r="G67" s="7">
        <f>PMT($C$6,$C$15,$C$18,0,0)</f>
        <v>222.44447684901775</v>
      </c>
      <c r="H67" s="7">
        <f>PMT($C$6,$C$16,$C$18,0,0)</f>
        <v>102.86125969255045</v>
      </c>
    </row>
    <row r="68" spans="2:8" x14ac:dyDescent="0.2">
      <c r="B68" s="8">
        <f>$C$7</f>
        <v>0.05</v>
      </c>
      <c r="C68" s="7">
        <f>PMT($C$7,$C$11,$C$18,0,0)</f>
        <v>10499.999999999998</v>
      </c>
      <c r="D68" s="7">
        <f>PMT($C$7,$C$12,$C$18,0,0)</f>
        <v>1970.1746811018829</v>
      </c>
      <c r="E68" s="7">
        <f>PMT($C$7,$C$13,$C$18,0,0)</f>
        <v>1128.2541002081541</v>
      </c>
      <c r="F68" s="7">
        <f>PMT($C$7,$C$14,$C$18,0,0)</f>
        <v>724.7090075268701</v>
      </c>
      <c r="G68" s="7">
        <f>PMT($C$7,$C$15,$C$18,0,0)</f>
        <v>528.28184527242365</v>
      </c>
      <c r="H68" s="7">
        <f>PMT($C$7,$C$16,$C$18,0,0)</f>
        <v>500.00001177124369</v>
      </c>
    </row>
    <row r="69" spans="2:8" x14ac:dyDescent="0.2">
      <c r="B69" s="8">
        <f>$C$8</f>
        <v>0.08</v>
      </c>
      <c r="C69" s="7">
        <f>PMT($C$8,$C$11,$C$18,0,0)</f>
        <v>10800</v>
      </c>
      <c r="D69" s="7">
        <f>PMT($C$8,$C$12,$C$18,0,0)</f>
        <v>2163.1538622900985</v>
      </c>
      <c r="E69" s="7">
        <f>PMT($C$8,$C$13,$C$18,0,0)</f>
        <v>1326.9501692446956</v>
      </c>
      <c r="F69" s="7">
        <f>PMT($C$8,$C$14,$C$18,0,0)</f>
        <v>949.77961603549397</v>
      </c>
      <c r="G69" s="7">
        <f>PMT($C$8,$C$15,$C$18,0,0)</f>
        <v>807.97948763645661</v>
      </c>
      <c r="H69" s="7">
        <f>PMT($C$8,$C$16,$C$18,0,0)</f>
        <v>800.00000000074226</v>
      </c>
    </row>
    <row r="70" spans="2:8" x14ac:dyDescent="0.2">
      <c r="B70" s="8">
        <f>$C$9</f>
        <v>0.1</v>
      </c>
      <c r="C70" s="7">
        <f>PMT($C$9,$C$11,$C$18,0,0)</f>
        <v>11000.000000000002</v>
      </c>
      <c r="D70" s="7">
        <f>PMT($C$9,$C$12,$C$18,0,0)</f>
        <v>2296.0738036266739</v>
      </c>
      <c r="E70" s="7">
        <f>PMT($C$9,$C$13,$C$18,0,0)</f>
        <v>1467.6331510028733</v>
      </c>
      <c r="F70" s="7">
        <f>PMT($C$9,$C$14,$C$18,0,0)</f>
        <v>1112.9977635068781</v>
      </c>
      <c r="G70" s="7">
        <f>PMT($C$9,$C$15,$C$18,0,0)</f>
        <v>1003.2950922550408</v>
      </c>
      <c r="H70" s="7">
        <f>PMT($C$9,$C$16,$C$18,0,0)</f>
        <v>1000.0000000000014</v>
      </c>
    </row>
    <row r="71" spans="2:8" x14ac:dyDescent="0.2">
      <c r="B71" s="8">
        <f>$C$10</f>
        <v>0.15</v>
      </c>
      <c r="C71" s="7">
        <f>PMT($C$10,$C$11,$C$18,0,0)</f>
        <v>11500.000000000002</v>
      </c>
      <c r="D71" s="7">
        <f>PMT($C$10,$C$12,$C$18,0,0)</f>
        <v>2642.369065673834</v>
      </c>
      <c r="E71" s="7">
        <f>PMT($C$10,$C$13,$C$18,0,0)</f>
        <v>1844.8077613083951</v>
      </c>
      <c r="F71" s="7">
        <f>PMT($C$10,$C$14,$C$18,0,0)</f>
        <v>1554.2982962216215</v>
      </c>
      <c r="G71" s="7">
        <f>PMT($C$10,$C$15,$C$18,0,0)</f>
        <v>1500.3422314463326</v>
      </c>
      <c r="H71" s="7">
        <f>PMT($C$10,$C$16,$C$18,0,0)</f>
        <v>1500</v>
      </c>
    </row>
    <row r="73" spans="2:8" x14ac:dyDescent="0.2">
      <c r="B73" s="9" t="s">
        <v>61</v>
      </c>
    </row>
    <row r="74" spans="2:8" x14ac:dyDescent="0.2">
      <c r="B74" s="14" t="s">
        <v>1</v>
      </c>
      <c r="C74" s="13">
        <f>$C$11</f>
        <v>1</v>
      </c>
      <c r="D74" s="13">
        <f>$C$12</f>
        <v>6</v>
      </c>
      <c r="E74" s="13">
        <f>$C$13</f>
        <v>12</v>
      </c>
      <c r="F74" s="13">
        <f>$C$14</f>
        <v>24</v>
      </c>
      <c r="G74" s="13">
        <f>$C$15</f>
        <v>60</v>
      </c>
      <c r="H74" s="13">
        <f>$C$16</f>
        <v>360</v>
      </c>
    </row>
    <row r="75" spans="2:8" x14ac:dyDescent="0.2">
      <c r="B75" s="8">
        <f>$C$5</f>
        <v>0</v>
      </c>
      <c r="C75" s="7">
        <f>PMT($C$5,$C$11,$C$18,0,1)</f>
        <v>10000</v>
      </c>
      <c r="D75" s="7">
        <f>PMT($C$5,$C$12,$C$18,0,1)</f>
        <v>1666.6666666666667</v>
      </c>
      <c r="E75" s="7">
        <f>PMT($C$5,$C$13,$C$18,0,1)</f>
        <v>833.33333333333337</v>
      </c>
      <c r="F75" s="7">
        <f>PMT($C$5,$C$14,$C$18,0,1)</f>
        <v>416.66666666666669</v>
      </c>
      <c r="G75" s="7">
        <f>PMT($C$5,$C$15,$C$18,0,1)</f>
        <v>166.66666666666666</v>
      </c>
      <c r="H75" s="7">
        <f>PMT($C$5,$C$16,$C$18,0,1)</f>
        <v>27.777777777777779</v>
      </c>
    </row>
    <row r="76" spans="2:8" x14ac:dyDescent="0.2">
      <c r="B76" s="8">
        <f>$C$6</f>
        <v>0.01</v>
      </c>
      <c r="C76" s="7">
        <f>PMT($C$6,$C$11,$C$18,0,1)</f>
        <v>9999.9999999999982</v>
      </c>
      <c r="D76" s="7">
        <f>PMT($C$6,$C$12,$C$18,0,1)</f>
        <v>1708.3996704047665</v>
      </c>
      <c r="E76" s="7">
        <f>PMT($C$6,$C$13,$C$18,0,1)</f>
        <v>879.69097701328405</v>
      </c>
      <c r="F76" s="7">
        <f>PMT($C$6,$C$14,$C$18,0,1)</f>
        <v>466.07398240856145</v>
      </c>
      <c r="G76" s="7">
        <f>PMT($C$6,$C$15,$C$18,0,1)</f>
        <v>220.24205628615618</v>
      </c>
      <c r="H76" s="7">
        <f>PMT($C$6,$C$16,$C$18,0,1)</f>
        <v>101.84283137876282</v>
      </c>
    </row>
    <row r="77" spans="2:8" x14ac:dyDescent="0.2">
      <c r="B77" s="8">
        <f>$C$7</f>
        <v>0.05</v>
      </c>
      <c r="C77" s="7">
        <f>PMT($C$7,$C$11,$C$18,0,1)</f>
        <v>9999.9999999999964</v>
      </c>
      <c r="D77" s="7">
        <f>PMT($C$7,$C$12,$C$18,0,1)</f>
        <v>1876.3568391446502</v>
      </c>
      <c r="E77" s="7">
        <f>PMT($C$7,$C$13,$C$18,0,1)</f>
        <v>1074.5277144839561</v>
      </c>
      <c r="F77" s="7">
        <f>PMT($C$7,$C$14,$C$18,0,1)</f>
        <v>690.19905478749524</v>
      </c>
      <c r="G77" s="7">
        <f>PMT($C$7,$C$15,$C$18,0,1)</f>
        <v>503.12556692611776</v>
      </c>
      <c r="H77" s="7">
        <f>PMT($C$7,$C$16,$C$18,0,1)</f>
        <v>476.19048740118444</v>
      </c>
    </row>
    <row r="78" spans="2:8" x14ac:dyDescent="0.2">
      <c r="B78" s="8">
        <f>$C$8</f>
        <v>0.08</v>
      </c>
      <c r="C78" s="7">
        <f>PMT($C$8,$C$11,$C$18,0,1)</f>
        <v>10000</v>
      </c>
      <c r="D78" s="7">
        <f>PMT($C$8,$C$12,$C$18,0,1)</f>
        <v>2002.920242861202</v>
      </c>
      <c r="E78" s="7">
        <f>PMT($C$8,$C$13,$C$18,0,1)</f>
        <v>1228.6575641154589</v>
      </c>
      <c r="F78" s="7">
        <f>PMT($C$8,$C$14,$C$18,0,1)</f>
        <v>879.42557040323516</v>
      </c>
      <c r="G78" s="7">
        <f>PMT($C$8,$C$15,$C$18,0,1)</f>
        <v>748.12915521894126</v>
      </c>
      <c r="H78" s="7">
        <f>PMT($C$8,$C$16,$C$18,0,1)</f>
        <v>740.740740741428</v>
      </c>
    </row>
    <row r="79" spans="2:8" x14ac:dyDescent="0.2">
      <c r="B79" s="8">
        <f>$C$9</f>
        <v>0.1</v>
      </c>
      <c r="C79" s="7">
        <f>PMT($C$9,$C$11,$C$18,0,1)</f>
        <v>10000.000000000002</v>
      </c>
      <c r="D79" s="7">
        <f>PMT($C$9,$C$12,$C$18,0,1)</f>
        <v>2087.3398214787944</v>
      </c>
      <c r="E79" s="7">
        <f>PMT($C$9,$C$13,$C$18,0,1)</f>
        <v>1334.2119554571575</v>
      </c>
      <c r="F79" s="7">
        <f>PMT($C$9,$C$14,$C$18,0,1)</f>
        <v>1011.8161486426164</v>
      </c>
      <c r="G79" s="7">
        <f>PMT($C$9,$C$15,$C$18,0,1)</f>
        <v>912.08644750458257</v>
      </c>
      <c r="H79" s="7">
        <f>PMT($C$9,$C$16,$C$18,0,1)</f>
        <v>909.09090909091026</v>
      </c>
    </row>
    <row r="80" spans="2:8" x14ac:dyDescent="0.2">
      <c r="B80" s="8">
        <f>$C$10</f>
        <v>0.15</v>
      </c>
      <c r="C80" s="7">
        <f>PMT($C$10,$C$11,$C$18,0,1)</f>
        <v>10000.000000000002</v>
      </c>
      <c r="D80" s="7">
        <f>PMT($C$10,$C$12,$C$18,0,1)</f>
        <v>2297.7122310207251</v>
      </c>
      <c r="E80" s="7">
        <f>PMT($C$10,$C$13,$C$18,0,1)</f>
        <v>1604.1806620073</v>
      </c>
      <c r="F80" s="7">
        <f>PMT($C$10,$C$14,$C$18,0,1)</f>
        <v>1351.5637358448882</v>
      </c>
      <c r="G80" s="7">
        <f>PMT($C$10,$C$15,$C$18,0,1)</f>
        <v>1304.6454186489848</v>
      </c>
      <c r="H80" s="7">
        <f>PMT($C$10,$C$16,$C$18,0,1)</f>
        <v>1304.3478260869565</v>
      </c>
    </row>
    <row r="82" spans="2:8" x14ac:dyDescent="0.2">
      <c r="B82" s="5" t="s">
        <v>62</v>
      </c>
    </row>
    <row r="83" spans="2:8" x14ac:dyDescent="0.2">
      <c r="B83" s="14" t="s">
        <v>1</v>
      </c>
      <c r="C83" s="13">
        <f>$C$11</f>
        <v>1</v>
      </c>
      <c r="D83" s="13">
        <f>$C$12</f>
        <v>6</v>
      </c>
      <c r="E83" s="13">
        <f>$C$13</f>
        <v>12</v>
      </c>
      <c r="F83" s="13">
        <f>$C$14</f>
        <v>24</v>
      </c>
      <c r="G83" s="13">
        <f>$C$15</f>
        <v>60</v>
      </c>
      <c r="H83" s="13">
        <f>$C$16</f>
        <v>360</v>
      </c>
    </row>
    <row r="84" spans="2:8" x14ac:dyDescent="0.2">
      <c r="B84" s="8">
        <f>$C$5</f>
        <v>0</v>
      </c>
      <c r="C84" s="7">
        <f>FV($C$5,$C$11,$C$22,0,0)</f>
        <v>100</v>
      </c>
      <c r="D84" s="7">
        <f>FV($C$5,$C$12,$C$22,0,0)</f>
        <v>600</v>
      </c>
      <c r="E84" s="7">
        <f>FV($C$5,$C$13,$C$22,0,0)</f>
        <v>1200</v>
      </c>
      <c r="F84" s="7">
        <f>FV($C$5,$C$14,$C$22,0,0)</f>
        <v>2400</v>
      </c>
      <c r="G84" s="7">
        <f>FV($C$5,$C$15,$C$22,0,0)</f>
        <v>6000</v>
      </c>
      <c r="H84" s="7">
        <f>FV($C$5,$C$16,$C$22,0,0)</f>
        <v>36000</v>
      </c>
    </row>
    <row r="85" spans="2:8" x14ac:dyDescent="0.2">
      <c r="B85" s="8">
        <f>$C$6</f>
        <v>0.01</v>
      </c>
      <c r="C85" s="7">
        <f>FV($C$6,$C$11,$C$22,0,0)</f>
        <v>100.00000000000009</v>
      </c>
      <c r="D85" s="7">
        <f>FV($C$6,$C$12,$C$22,0,0)</f>
        <v>615.20150601000137</v>
      </c>
      <c r="E85" s="7">
        <f>FV($C$6,$C$13,$C$22,0,0)</f>
        <v>1268.2503013196977</v>
      </c>
      <c r="F85" s="7">
        <f>FV($C$6,$C$14,$C$22,0,0)</f>
        <v>2697.3464853191499</v>
      </c>
      <c r="G85" s="7">
        <f>FV($C$6,$C$15,$C$22,0,0)</f>
        <v>8166.9669856409128</v>
      </c>
      <c r="H85" s="7">
        <f>FV($C$6,$C$16,$C$22,0,0)</f>
        <v>349496.41327685065</v>
      </c>
    </row>
    <row r="86" spans="2:8" x14ac:dyDescent="0.2">
      <c r="B86" s="8">
        <f>$C$7</f>
        <v>0.05</v>
      </c>
      <c r="C86" s="7">
        <f>FV($C$7,$C$11,$C$22,0,0)</f>
        <v>100.00000000000009</v>
      </c>
      <c r="D86" s="7">
        <f>FV($C$7,$C$12,$C$22,0,0)</f>
        <v>680.19128124999997</v>
      </c>
      <c r="E86" s="7">
        <f>FV($C$7,$C$13,$C$22,0,0)</f>
        <v>1591.7126520442582</v>
      </c>
      <c r="F86" s="7">
        <f>FV($C$7,$C$14,$C$22,0,0)</f>
        <v>4450.1998874274004</v>
      </c>
      <c r="G86" s="7">
        <f>FV($C$7,$C$15,$C$22,0,0)</f>
        <v>35358.371788245917</v>
      </c>
      <c r="H86" s="7">
        <f>FV($C$7,$C$16,$C$22,0,0)</f>
        <v>84952790817.360458</v>
      </c>
    </row>
    <row r="87" spans="2:8" x14ac:dyDescent="0.2">
      <c r="B87" s="8">
        <f>$C$8</f>
        <v>0.08</v>
      </c>
      <c r="C87" s="7">
        <f>FV($C$8,$C$11,$C$22,0,0)</f>
        <v>100.00000000000009</v>
      </c>
      <c r="D87" s="7">
        <f>FV($C$8,$C$12,$C$22,0,0)</f>
        <v>733.59290368000063</v>
      </c>
      <c r="E87" s="7">
        <f>FV($C$8,$C$13,$C$22,0,0)</f>
        <v>1897.7126460237248</v>
      </c>
      <c r="F87" s="7">
        <f>FV($C$8,$C$14,$C$22,0,0)</f>
        <v>6676.4759215501426</v>
      </c>
      <c r="G87" s="7">
        <f>FV($C$8,$C$15,$C$22,0,0)</f>
        <v>125321.32958402156</v>
      </c>
      <c r="H87" s="7">
        <f>FV($C$8,$C$16,$C$22,0,0)</f>
        <v>1347292798177031.5</v>
      </c>
    </row>
    <row r="88" spans="2:8" x14ac:dyDescent="0.2">
      <c r="B88" s="8">
        <f>$C$9</f>
        <v>0.1</v>
      </c>
      <c r="C88" s="7">
        <f>FV($C$9,$C$11,$C$22,0,0)</f>
        <v>100.00000000000009</v>
      </c>
      <c r="D88" s="7">
        <f>FV($C$9,$C$12,$C$22,0,0)</f>
        <v>771.56100000000083</v>
      </c>
      <c r="E88" s="7">
        <f>FV($C$9,$C$13,$C$22,0,0)</f>
        <v>2138.4283767210027</v>
      </c>
      <c r="F88" s="7">
        <f>FV($C$9,$C$14,$C$22,0,0)</f>
        <v>8849.7326758076251</v>
      </c>
      <c r="G88" s="7">
        <f>FV($C$9,$C$15,$C$22,0,0)</f>
        <v>303481.63954141934</v>
      </c>
      <c r="H88" s="7">
        <f>FV($C$9,$C$16,$C$22,0,0)</f>
        <v>7.9683179881738214E+17</v>
      </c>
    </row>
    <row r="89" spans="2:8" x14ac:dyDescent="0.2">
      <c r="B89" s="8">
        <f>$C$10</f>
        <v>0.15</v>
      </c>
      <c r="C89" s="7">
        <f>FV($C$10,$C$11,$C$22,0,0)</f>
        <v>99.999999999999943</v>
      </c>
      <c r="D89" s="7">
        <f>FV($C$10,$C$12,$C$22,0,0)</f>
        <v>875.37384374999942</v>
      </c>
      <c r="E89" s="7">
        <f>FV($C$10,$C$13,$C$22,0,0)</f>
        <v>2900.16673698247</v>
      </c>
      <c r="F89" s="7">
        <f>FV($C$10,$C$14,$C$22,0,0)</f>
        <v>18416.784127414263</v>
      </c>
      <c r="G89" s="7">
        <f>FV($C$10,$C$15,$C$22,0,0)</f>
        <v>2921999.1637715991</v>
      </c>
      <c r="H89" s="7">
        <f>FV($C$10,$C$16,$C$22,0,0)</f>
        <v>4.7329429352723096E+24</v>
      </c>
    </row>
    <row r="91" spans="2:8" x14ac:dyDescent="0.2">
      <c r="B91" s="9" t="s">
        <v>63</v>
      </c>
    </row>
    <row r="92" spans="2:8" x14ac:dyDescent="0.2">
      <c r="B92" s="14" t="s">
        <v>1</v>
      </c>
      <c r="C92" s="13">
        <f>$C$11</f>
        <v>1</v>
      </c>
      <c r="D92" s="13">
        <f>$C$12</f>
        <v>6</v>
      </c>
      <c r="E92" s="13">
        <f>$C$13</f>
        <v>12</v>
      </c>
      <c r="F92" s="13">
        <f>$C$14</f>
        <v>24</v>
      </c>
      <c r="G92" s="13">
        <f>$C$15</f>
        <v>60</v>
      </c>
      <c r="H92" s="13">
        <f>$C$16</f>
        <v>360</v>
      </c>
    </row>
    <row r="93" spans="2:8" x14ac:dyDescent="0.2">
      <c r="B93" s="8">
        <f>$C$5</f>
        <v>0</v>
      </c>
      <c r="C93" s="7">
        <f>FV($C$5,$C$11,$C$22,$C$18,1)</f>
        <v>10100</v>
      </c>
      <c r="D93" s="7">
        <f>FV($C$5,$C$12,$C$22,$C$18,1)</f>
        <v>10600</v>
      </c>
      <c r="E93" s="7">
        <f>FV($C$5,$C$13,$C$22,$C$18,1)</f>
        <v>11200</v>
      </c>
      <c r="F93" s="7">
        <f>FV($C$5,$C$14,$C$22,$C$18,1)</f>
        <v>12400</v>
      </c>
      <c r="G93" s="7">
        <f>FV($C$5,$C$15,$C$22,$C$18,1)</f>
        <v>16000</v>
      </c>
      <c r="H93" s="7">
        <f>FV($C$5,$C$16,$C$22,$C$18,1)</f>
        <v>46000</v>
      </c>
    </row>
    <row r="94" spans="2:8" x14ac:dyDescent="0.2">
      <c r="B94" s="8">
        <f>$C$6</f>
        <v>0.01</v>
      </c>
      <c r="C94" s="7">
        <f>FV($C$6,$C$11,$C$22,$C$18,1)</f>
        <v>10201</v>
      </c>
      <c r="D94" s="7">
        <f>FV($C$6,$C$12,$C$22,$C$18,1)</f>
        <v>11236.555027080103</v>
      </c>
      <c r="E94" s="7">
        <f>FV($C$6,$C$13,$C$22,$C$18,1)</f>
        <v>12549.183105652593</v>
      </c>
      <c r="F94" s="7">
        <f>FV($C$6,$C$14,$C$22,$C$18,1)</f>
        <v>15421.66643549149</v>
      </c>
      <c r="G94" s="7">
        <f>FV($C$6,$C$15,$C$22,$C$18,1)</f>
        <v>26415.603641138234</v>
      </c>
      <c r="H94" s="7">
        <f>FV($C$6,$C$16,$C$22,$C$18,1)</f>
        <v>712487.79068646976</v>
      </c>
    </row>
    <row r="95" spans="2:8" x14ac:dyDescent="0.2">
      <c r="B95" s="8">
        <f>$C$7</f>
        <v>0.05</v>
      </c>
      <c r="C95" s="7">
        <f>FV($C$7,$C$11,$C$22,$C$18,1)</f>
        <v>10605</v>
      </c>
      <c r="D95" s="7">
        <f>FV($C$7,$C$12,$C$22,$C$18,1)</f>
        <v>14115.157251562499</v>
      </c>
      <c r="E95" s="7">
        <f>FV($C$7,$C$13,$C$22,$C$18,1)</f>
        <v>19629.861544867766</v>
      </c>
      <c r="F95" s="7">
        <f>FV($C$7,$C$14,$C$22,$C$18,1)</f>
        <v>36923.709318935777</v>
      </c>
      <c r="G95" s="7">
        <f>FV($C$7,$C$15,$C$22,$C$18,1)</f>
        <v>223918.14931888779</v>
      </c>
      <c r="H95" s="7">
        <f>FV($C$7,$C$16,$C$22,$C$18,1)</f>
        <v>513964394445.03076</v>
      </c>
    </row>
    <row r="96" spans="2:8" x14ac:dyDescent="0.2">
      <c r="B96" s="8">
        <f>$C$8</f>
        <v>0.08</v>
      </c>
      <c r="C96" s="7">
        <f>FV($C$8,$C$11,$C$22,$C$18,1)</f>
        <v>10908</v>
      </c>
      <c r="D96" s="7">
        <f>FV($C$8,$C$12,$C$22,$C$18,1)</f>
        <v>16661.023565414405</v>
      </c>
      <c r="E96" s="7">
        <f>FV($C$8,$C$13,$C$22,$C$18,1)</f>
        <v>27231.230825895422</v>
      </c>
      <c r="F96" s="7">
        <f>FV($C$8,$C$14,$C$22,$C$18,1)</f>
        <v>70622.401367675309</v>
      </c>
      <c r="G96" s="7">
        <f>FV($C$8,$C$15,$C$22,$C$18,1)</f>
        <v>1147917.6726229158</v>
      </c>
      <c r="H96" s="7">
        <f>FV($C$8,$C$16,$C$22,$C$18,1)</f>
        <v>1.2233418607457446E+16</v>
      </c>
    </row>
    <row r="97" spans="2:8" x14ac:dyDescent="0.2">
      <c r="B97" s="8">
        <f>$C$9</f>
        <v>0.1</v>
      </c>
      <c r="C97" s="7">
        <f>FV($C$9,$C$11,$C$22,$C$18,1)</f>
        <v>11110</v>
      </c>
      <c r="D97" s="7">
        <f>FV($C$9,$C$12,$C$22,$C$18,1)</f>
        <v>18564.32710000001</v>
      </c>
      <c r="E97" s="7">
        <f>FV($C$9,$C$13,$C$22,$C$18,1)</f>
        <v>33736.554981603127</v>
      </c>
      <c r="F97" s="7">
        <f>FV($C$9,$C$14,$C$22,$C$18,1)</f>
        <v>108232.03270146465</v>
      </c>
      <c r="G97" s="7">
        <f>FV($C$9,$C$15,$C$22,$C$18,1)</f>
        <v>3378646.1989097544</v>
      </c>
      <c r="H97" s="7">
        <f>FV($C$9,$C$16,$C$22,$C$18,1)</f>
        <v>8.8448329668729528E+18</v>
      </c>
    </row>
    <row r="98" spans="2:8" x14ac:dyDescent="0.2">
      <c r="B98" s="8">
        <f>$C$10</f>
        <v>0.15</v>
      </c>
      <c r="C98" s="7">
        <f>FV($C$10,$C$11,$C$22,$C$18,1)</f>
        <v>11615</v>
      </c>
      <c r="D98" s="7">
        <f>FV($C$10,$C$12,$C$22,$C$18,1)</f>
        <v>24137.287576562492</v>
      </c>
      <c r="E98" s="7">
        <f>FV($C$10,$C$13,$C$22,$C$18,1)</f>
        <v>56837.692802266894</v>
      </c>
      <c r="F98" s="7">
        <f>FV($C$10,$C$14,$C$22,$C$18,1)</f>
        <v>307431.06365774031</v>
      </c>
      <c r="G98" s="7">
        <f>FV($C$10,$C$15,$C$22,$C$18,1)</f>
        <v>47200286.494911313</v>
      </c>
      <c r="H98" s="7">
        <f>FV($C$10,$C$16,$C$22,$C$18,1)</f>
        <v>7.6437028404647796E+25</v>
      </c>
    </row>
    <row r="101" spans="2:8" x14ac:dyDescent="0.2">
      <c r="B101" s="5" t="s">
        <v>64</v>
      </c>
    </row>
    <row r="102" spans="2:8" x14ac:dyDescent="0.2">
      <c r="B102" s="14" t="s">
        <v>1</v>
      </c>
      <c r="C102" s="13">
        <f>$C$11</f>
        <v>1</v>
      </c>
      <c r="D102" s="13">
        <f>$C$12</f>
        <v>6</v>
      </c>
      <c r="E102" s="13">
        <f>$C$13</f>
        <v>12</v>
      </c>
      <c r="F102" s="13">
        <f>$C$14</f>
        <v>24</v>
      </c>
      <c r="G102" s="13">
        <f>$C$15</f>
        <v>60</v>
      </c>
      <c r="H102" s="13">
        <f>$C$16</f>
        <v>360</v>
      </c>
    </row>
    <row r="103" spans="2:8" x14ac:dyDescent="0.2">
      <c r="B103" s="8">
        <f>$C$5</f>
        <v>0</v>
      </c>
      <c r="C103" s="7">
        <f>PV($C$5,$C$11,$C$22,0,0)</f>
        <v>100</v>
      </c>
      <c r="D103" s="7">
        <f>PV($C$5,$C$12,$C$22,0,0)</f>
        <v>600</v>
      </c>
      <c r="E103" s="7">
        <f>PV($C$5,$C$13,$C$22,0,0)</f>
        <v>1200</v>
      </c>
      <c r="F103" s="7">
        <f>PV($C$5,$C$14,$C$22,0,0)</f>
        <v>2400</v>
      </c>
      <c r="G103" s="7">
        <f>PV($C$5,$C$15,$C$22,0,0)</f>
        <v>6000</v>
      </c>
      <c r="H103" s="7">
        <f>PV($C$5,$C$16,$C$22,0,0)</f>
        <v>36000</v>
      </c>
    </row>
    <row r="104" spans="2:8" x14ac:dyDescent="0.2">
      <c r="B104" s="8">
        <f>$C$6</f>
        <v>0.01</v>
      </c>
      <c r="C104" s="7">
        <f>PV($C$6,$C$11,$C$22,0,0)</f>
        <v>99.009900990099098</v>
      </c>
      <c r="D104" s="7">
        <f>PV($C$6,$C$12,$C$22,0,0)</f>
        <v>579.54764745793398</v>
      </c>
      <c r="E104" s="7">
        <f>PV($C$6,$C$13,$C$22,0,0)</f>
        <v>1125.5077473484635</v>
      </c>
      <c r="F104" s="7">
        <f>PV($C$6,$C$14,$C$22,0,0)</f>
        <v>2124.3387257627883</v>
      </c>
      <c r="G104" s="7">
        <f>PV($C$6,$C$15,$C$22,0,0)</f>
        <v>4495.503840622403</v>
      </c>
      <c r="H104" s="7">
        <f>PV($C$6,$C$16,$C$22,0,0)</f>
        <v>9721.8331079064501</v>
      </c>
    </row>
    <row r="105" spans="2:8" x14ac:dyDescent="0.2">
      <c r="B105" s="8">
        <f>$C$7</f>
        <v>0.05</v>
      </c>
      <c r="C105" s="7">
        <f>PV($C$7,$C$11,$C$22,0,0)</f>
        <v>95.238095238095312</v>
      </c>
      <c r="D105" s="7">
        <f>PV($C$7,$C$12,$C$22,0,0)</f>
        <v>507.56920672674471</v>
      </c>
      <c r="E105" s="7">
        <f>PV($C$7,$C$13,$C$22,0,0)</f>
        <v>886.32516364488094</v>
      </c>
      <c r="F105" s="7">
        <f>PV($C$7,$C$14,$C$22,0,0)</f>
        <v>1379.8641794346993</v>
      </c>
      <c r="G105" s="7">
        <f>PV($C$7,$C$15,$C$22,0,0)</f>
        <v>1892.9289525070114</v>
      </c>
      <c r="H105" s="7">
        <f>PV($C$7,$C$16,$C$22,0,0)</f>
        <v>1999.9999529150264</v>
      </c>
    </row>
    <row r="106" spans="2:8" x14ac:dyDescent="0.2">
      <c r="B106" s="8">
        <f>$C$8</f>
        <v>0.08</v>
      </c>
      <c r="C106" s="7">
        <f>PV($C$8,$C$11,$C$22,0,0)</f>
        <v>92.592592592592666</v>
      </c>
      <c r="D106" s="7">
        <f>PV($C$8,$C$12,$C$22,0,0)</f>
        <v>462.28796639611926</v>
      </c>
      <c r="E106" s="7">
        <f>PV($C$8,$C$13,$C$22,0,0)</f>
        <v>753.60780169251086</v>
      </c>
      <c r="F106" s="7">
        <f>PV($C$8,$C$14,$C$22,0,0)</f>
        <v>1052.8758283675666</v>
      </c>
      <c r="G106" s="7">
        <f>PV($C$8,$C$15,$C$22,0,0)</f>
        <v>1237.6551822191077</v>
      </c>
      <c r="H106" s="7">
        <f>PV($C$8,$C$16,$C$22,0,0)</f>
        <v>1249.9999999988404</v>
      </c>
    </row>
    <row r="107" spans="2:8" x14ac:dyDescent="0.2">
      <c r="B107" s="8">
        <f>$C$9</f>
        <v>0.1</v>
      </c>
      <c r="C107" s="7">
        <f>PV($C$9,$C$11,$C$22,0,0)</f>
        <v>90.909090909090978</v>
      </c>
      <c r="D107" s="7">
        <f>PV($C$9,$C$12,$C$22,0,0)</f>
        <v>435.52606994622283</v>
      </c>
      <c r="E107" s="7">
        <f>PV($C$9,$C$13,$C$22,0,0)</f>
        <v>681.3691822896435</v>
      </c>
      <c r="F107" s="7">
        <f>PV($C$9,$C$14,$C$22,0,0)</f>
        <v>898.47440200522942</v>
      </c>
      <c r="G107" s="7">
        <f>PV($C$9,$C$15,$C$22,0,0)</f>
        <v>996.7157297185272</v>
      </c>
      <c r="H107" s="7">
        <f>PV($C$9,$C$16,$C$22,0,0)</f>
        <v>999.99999999999864</v>
      </c>
    </row>
    <row r="108" spans="2:8" x14ac:dyDescent="0.2">
      <c r="B108" s="8">
        <f>$C$10</f>
        <v>0.15</v>
      </c>
      <c r="C108" s="7">
        <f>PV($C$10,$C$11,$C$22,0,0)</f>
        <v>86.956521739130395</v>
      </c>
      <c r="D108" s="7">
        <f>PV($C$10,$C$12,$C$22,0,0)</f>
        <v>378.44826939229569</v>
      </c>
      <c r="E108" s="7">
        <f>PV($C$10,$C$13,$C$22,0,0)</f>
        <v>542.06189987555592</v>
      </c>
      <c r="F108" s="7">
        <f>PV($C$10,$C$14,$C$22,0,0)</f>
        <v>643.37714480606598</v>
      </c>
      <c r="G108" s="7">
        <f>PV($C$10,$C$15,$C$22,0,0)</f>
        <v>666.51459849663661</v>
      </c>
      <c r="H108" s="7">
        <f>PV($C$10,$C$16,$C$22,0,0)</f>
        <v>666.66666666666674</v>
      </c>
    </row>
    <row r="110" spans="2:8" x14ac:dyDescent="0.2">
      <c r="B110" s="9" t="s">
        <v>65</v>
      </c>
    </row>
    <row r="111" spans="2:8" x14ac:dyDescent="0.2">
      <c r="B111" s="14" t="s">
        <v>1</v>
      </c>
      <c r="C111" s="13">
        <f>$C$11</f>
        <v>1</v>
      </c>
      <c r="D111" s="13">
        <f>$C$12</f>
        <v>6</v>
      </c>
      <c r="E111" s="13">
        <f>$C$13</f>
        <v>12</v>
      </c>
      <c r="F111" s="13">
        <f>$C$14</f>
        <v>24</v>
      </c>
      <c r="G111" s="13">
        <f>$C$15</f>
        <v>60</v>
      </c>
      <c r="H111" s="13">
        <f>$C$16</f>
        <v>360</v>
      </c>
    </row>
    <row r="112" spans="2:8" x14ac:dyDescent="0.2">
      <c r="B112" s="8">
        <f>$C$5</f>
        <v>0</v>
      </c>
      <c r="C112" s="7">
        <f>PV($C$5,$C$11,$C$22,$C$29,1)</f>
        <v>-9900</v>
      </c>
      <c r="D112" s="7">
        <f>PV($C$5,$C$12,$C$22,$C$29,1)</f>
        <v>-9400</v>
      </c>
      <c r="E112" s="7">
        <f>PV($C$5,$C$13,$C$22,$C$29,1)</f>
        <v>-8800</v>
      </c>
      <c r="F112" s="7">
        <f>PV($C$5,$C$14,$C$22,$C$29,1)</f>
        <v>-7600</v>
      </c>
      <c r="G112" s="7">
        <f>PV($C$5,$C$15,$C$22,$C$29,1)</f>
        <v>-4000</v>
      </c>
      <c r="H112" s="7">
        <f>PV($C$5,$C$16,$C$22,$C$29,1)</f>
        <v>26000</v>
      </c>
    </row>
    <row r="113" spans="2:8" x14ac:dyDescent="0.2">
      <c r="B113" s="8">
        <f>$C$6</f>
        <v>0.01</v>
      </c>
      <c r="C113" s="7">
        <f>PV($C$6,$C$11,$C$22,$C$29,1)</f>
        <v>-9800.9900990099013</v>
      </c>
      <c r="D113" s="7">
        <f>PV($C$6,$C$12,$C$22,$C$29,1)</f>
        <v>-8835.1092286095536</v>
      </c>
      <c r="E113" s="7">
        <f>PV($C$6,$C$13,$C$22,$C$29,1)</f>
        <v>-7737.7294278295885</v>
      </c>
      <c r="F113" s="7">
        <f>PV($C$6,$C$14,$C$22,$C$29,1)</f>
        <v>-5730.0791612167959</v>
      </c>
      <c r="G113" s="7">
        <f>PV($C$6,$C$15,$C$22,$C$29,1)</f>
        <v>-964.03728034896994</v>
      </c>
      <c r="H113" s="7">
        <f>PV($C$6,$C$16,$C$22,$C$29,1)</f>
        <v>9540.8845468919644</v>
      </c>
    </row>
    <row r="114" spans="2:8" x14ac:dyDescent="0.2">
      <c r="B114" s="8">
        <f>$C$7</f>
        <v>0.05</v>
      </c>
      <c r="C114" s="7">
        <f>PV($C$7,$C$11,$C$22,$C$29,1)</f>
        <v>-9423.8095238095229</v>
      </c>
      <c r="D114" s="7">
        <f>PV($C$7,$C$12,$C$22,$C$29,1)</f>
        <v>-6929.206299303195</v>
      </c>
      <c r="E114" s="7">
        <f>PV($C$7,$C$13,$C$22,$C$29,1)</f>
        <v>-4637.7327599484706</v>
      </c>
      <c r="F114" s="7">
        <f>PV($C$7,$C$14,$C$22,$C$29,1)</f>
        <v>-1651.8217144200678</v>
      </c>
      <c r="G114" s="7">
        <f>PV($C$7,$C$15,$C$22,$C$29,1)</f>
        <v>1452.2201626674193</v>
      </c>
      <c r="H114" s="7">
        <f>PV($C$7,$C$16,$C$22,$C$29,1)</f>
        <v>2099.9997151359103</v>
      </c>
    </row>
    <row r="115" spans="2:8" x14ac:dyDescent="0.2">
      <c r="B115" s="8">
        <f>$C$8</f>
        <v>0.08</v>
      </c>
      <c r="C115" s="7">
        <f>PV($C$8,$C$11,$C$22,$C$29,1)</f>
        <v>-9159.2592592592591</v>
      </c>
      <c r="D115" s="7">
        <f>PV($C$8,$C$12,$C$22,$C$29,1)</f>
        <v>-5802.4252651232364</v>
      </c>
      <c r="E115" s="7">
        <f>PV($C$8,$C$13,$C$22,$C$29,1)</f>
        <v>-3157.2411606320006</v>
      </c>
      <c r="F115" s="7">
        <f>PV($C$8,$C$14,$C$22,$C$29,1)</f>
        <v>-439.88747842249381</v>
      </c>
      <c r="G115" s="7">
        <f>PV($C$8,$C$15,$C$22,$C$29,1)</f>
        <v>1237.9090545494987</v>
      </c>
      <c r="H115" s="7">
        <f>PV($C$8,$C$16,$C$22,$C$29,1)</f>
        <v>1349.9999999894699</v>
      </c>
    </row>
    <row r="116" spans="2:8" x14ac:dyDescent="0.2">
      <c r="B116" s="8">
        <f>$C$9</f>
        <v>0.1</v>
      </c>
      <c r="C116" s="7">
        <f>PV($C$9,$C$11,$C$22,$C$29,1)</f>
        <v>-8990.9090909090901</v>
      </c>
      <c r="D116" s="7">
        <f>PV($C$9,$C$12,$C$22,$C$29,1)</f>
        <v>-5165.6606235969257</v>
      </c>
      <c r="E116" s="7">
        <f>PV($C$9,$C$13,$C$22,$C$29,1)</f>
        <v>-2436.8020765849578</v>
      </c>
      <c r="F116" s="7">
        <f>PV($C$9,$C$14,$C$22,$C$29,1)</f>
        <v>-26.934137741952419</v>
      </c>
      <c r="G116" s="7">
        <f>PV($C$9,$C$15,$C$22,$C$29,1)</f>
        <v>1063.544599875652</v>
      </c>
      <c r="H116" s="7">
        <f>PV($C$9,$C$16,$C$22,$C$29,1)</f>
        <v>1099.9999999999861</v>
      </c>
    </row>
    <row r="117" spans="2:8" x14ac:dyDescent="0.2">
      <c r="B117" s="8">
        <f>$C$10</f>
        <v>0.15</v>
      </c>
      <c r="C117" s="7">
        <f>PV($C$10,$C$11,$C$22,$C$29,1)</f>
        <v>-8595.652173913044</v>
      </c>
      <c r="D117" s="7">
        <f>PV($C$10,$C$12,$C$22,$C$29,1)</f>
        <v>-3888.0604493144247</v>
      </c>
      <c r="E117" s="7">
        <f>PV($C$10,$C$13,$C$22,$C$29,1)</f>
        <v>-1245.7003170097717</v>
      </c>
      <c r="F117" s="7">
        <f>PV($C$10,$C$14,$C$22,$C$29,1)</f>
        <v>390.54088861796617</v>
      </c>
      <c r="G117" s="7">
        <f>PV($C$10,$C$15,$C$22,$C$29,1)</f>
        <v>764.21076572067943</v>
      </c>
      <c r="H117" s="7">
        <f>PV($C$10,$C$16,$C$22,$C$29,1)</f>
        <v>766.66666666666663</v>
      </c>
    </row>
    <row r="120" spans="2:8" x14ac:dyDescent="0.2">
      <c r="B120" s="5" t="s">
        <v>66</v>
      </c>
    </row>
    <row r="121" spans="2:8" x14ac:dyDescent="0.2">
      <c r="B121" s="14" t="s">
        <v>1</v>
      </c>
      <c r="C121" s="12" t="s">
        <v>67</v>
      </c>
      <c r="D121" s="12" t="s">
        <v>68</v>
      </c>
      <c r="E121" s="12" t="s">
        <v>69</v>
      </c>
    </row>
    <row r="122" spans="2:8" x14ac:dyDescent="0.2">
      <c r="B122" s="8">
        <f>$C$5</f>
        <v>0</v>
      </c>
      <c r="C122" s="7">
        <f>$C$47+NPV($C$5,$C$48,$C$49,$C$50,$C$51)</f>
        <v>4000</v>
      </c>
      <c r="D122" s="7">
        <f>$C$52+NPV($C$5,$C$53,$C$54,$C$55,$C$56)</f>
        <v>10000</v>
      </c>
      <c r="E122" s="7">
        <f>$C$57+NPV($C$5,$C$58,$C$59,$C$60,$C$61)</f>
        <v>300</v>
      </c>
    </row>
    <row r="123" spans="2:8" x14ac:dyDescent="0.2">
      <c r="B123" s="8">
        <f>$C$6</f>
        <v>0.01</v>
      </c>
      <c r="C123" s="7">
        <f>$C$47+NPV($C$6,$C$48,$C$49,$C$50,$C$51)</f>
        <v>3666.3926559345091</v>
      </c>
      <c r="D123" s="7">
        <f>$C$52+NPV($C$6,$C$53,$C$54,$C$55,$C$56)</f>
        <v>8529.4832757755794</v>
      </c>
      <c r="E123" s="7">
        <f>$C$57+NPV($C$6,$C$58,$C$59,$C$60,$C$61)</f>
        <v>274.4430035398384</v>
      </c>
    </row>
    <row r="124" spans="2:8" x14ac:dyDescent="0.2">
      <c r="B124" s="8">
        <f>$C$7</f>
        <v>0.05</v>
      </c>
      <c r="C124" s="7">
        <f>$C$47+NPV($C$7,$C$48,$C$49,$C$50,$C$51)</f>
        <v>2449.8537132162</v>
      </c>
      <c r="D124" s="7">
        <f>$C$52+NPV($C$7,$C$53,$C$54,$C$55,$C$56)</f>
        <v>3189.2575624353994</v>
      </c>
      <c r="E124" s="7">
        <f>$C$57+NPV($C$7,$C$58,$C$59,$C$60,$C$61)</f>
        <v>180.42379461232713</v>
      </c>
    </row>
    <row r="125" spans="2:8" x14ac:dyDescent="0.2">
      <c r="B125" s="8">
        <f>$C$8</f>
        <v>0.08</v>
      </c>
      <c r="C125" s="7">
        <f>$C$47+NPV($C$8,$C$48,$C$49,$C$50,$C$51)</f>
        <v>1646.3539696786647</v>
      </c>
      <c r="D125" s="7">
        <f>$C$52+NPV($C$8,$C$53,$C$54,$C$55,$C$56)</f>
        <v>-318.09739933501987</v>
      </c>
      <c r="E125" s="7">
        <f>$C$57+NPV($C$8,$C$58,$C$59,$C$60,$C$61)</f>
        <v>117.55114866937242</v>
      </c>
    </row>
    <row r="126" spans="2:8" x14ac:dyDescent="0.2">
      <c r="B126" s="8">
        <f>$C$9</f>
        <v>0.1</v>
      </c>
      <c r="C126" s="7">
        <f>$C$47+NPV($C$9,$C$48,$C$49,$C$50,$C$51)</f>
        <v>1155.658766477698</v>
      </c>
      <c r="D126" s="7">
        <f>$C$52+NPV($C$9,$C$53,$C$54,$C$55,$C$56)</f>
        <v>-2452.0183047606115</v>
      </c>
      <c r="E126" s="7">
        <f>$C$57+NPV($C$9,$C$58,$C$59,$C$60,$C$61)</f>
        <v>78.819752749129066</v>
      </c>
    </row>
    <row r="127" spans="2:8" x14ac:dyDescent="0.2">
      <c r="B127" s="8">
        <f>$C$10</f>
        <v>0.15</v>
      </c>
      <c r="C127" s="7">
        <f>$C$47+NPV($C$10,$C$48,$C$49,$C$50,$C$51)</f>
        <v>64.357974707067115</v>
      </c>
      <c r="D127" s="7">
        <f>$C$52+NPV($C$10,$C$53,$C$54,$C$55,$C$56)</f>
        <v>-7175.3245593033134</v>
      </c>
      <c r="E127" s="7">
        <f>$C$57+NPV($C$10,$C$58,$C$59,$C$60,$C$61)</f>
        <v>-8.3297300967333285</v>
      </c>
    </row>
    <row r="130" spans="2:7" x14ac:dyDescent="0.2">
      <c r="B130" s="5" t="s">
        <v>70</v>
      </c>
    </row>
    <row r="131" spans="2:7" x14ac:dyDescent="0.2">
      <c r="B131" s="14" t="s">
        <v>1</v>
      </c>
      <c r="C131" s="12" t="s">
        <v>71</v>
      </c>
      <c r="D131" s="12" t="s">
        <v>72</v>
      </c>
      <c r="E131" s="12" t="s">
        <v>73</v>
      </c>
    </row>
    <row r="132" spans="2:7" x14ac:dyDescent="0.2">
      <c r="B132" s="6" t="s">
        <v>67</v>
      </c>
      <c r="C132" s="7">
        <f>IRR($C$47:$C$51,0.1)</f>
        <v>0.15322137877181552</v>
      </c>
      <c r="D132" s="7">
        <f>IRR($C$47:$C$51,0.2)</f>
        <v>0.15322137876909347</v>
      </c>
      <c r="E132" s="7">
        <f>IRR($C$47:$C$51,0.5)</f>
        <v>0.15322137877183506</v>
      </c>
    </row>
    <row r="133" spans="2:7" x14ac:dyDescent="0.2">
      <c r="B133" s="6" t="s">
        <v>68</v>
      </c>
      <c r="C133" s="7">
        <f>IRR($C$52:$C$56,0.1)</f>
        <v>7.7138472952043458E-2</v>
      </c>
      <c r="D133" s="7">
        <f>IRR($C$52:$C$56,0.2)</f>
        <v>7.7138472952269499E-2</v>
      </c>
      <c r="E133" s="7">
        <f>IRR($C$52:$C$56,0.5)</f>
        <v>7.7138472952083648E-2</v>
      </c>
    </row>
    <row r="134" spans="2:7" x14ac:dyDescent="0.2">
      <c r="B134" s="6" t="s">
        <v>69</v>
      </c>
      <c r="C134" s="7">
        <f>IRR($C$57:$C$61,0.1)</f>
        <v>0.14488844278532143</v>
      </c>
      <c r="D134" s="7">
        <f>IRR($C$57:$C$61,0.2)</f>
        <v>0.14488844278415591</v>
      </c>
      <c r="E134" s="7">
        <f>IRR($C$57:$C$61,0.5)</f>
        <v>0.14488844278585611</v>
      </c>
    </row>
    <row r="137" spans="2:7" x14ac:dyDescent="0.2">
      <c r="B137" s="11" t="s">
        <v>74</v>
      </c>
    </row>
    <row r="138" spans="2:7" x14ac:dyDescent="0.2">
      <c r="B138" s="14" t="s">
        <v>1</v>
      </c>
      <c r="C138" s="13">
        <f>$C$17</f>
        <v>-1000</v>
      </c>
      <c r="D138" s="13">
        <f>$C$18</f>
        <v>-10000</v>
      </c>
      <c r="E138" s="13">
        <f>$C$19</f>
        <v>-100000</v>
      </c>
      <c r="F138" s="13">
        <f>$C$20</f>
        <v>0</v>
      </c>
      <c r="G138" s="13">
        <f>$C$21</f>
        <v>50000</v>
      </c>
    </row>
    <row r="139" spans="2:7" x14ac:dyDescent="0.2">
      <c r="B139" s="8">
        <f>$C$11</f>
        <v>1</v>
      </c>
      <c r="C139" s="7" t="e">
        <f>RATE($C$11,$C$17,$C$22)</f>
        <v>#NUM!</v>
      </c>
      <c r="D139" s="7" t="e">
        <f>RATE($C$11,$C$18,$C$22)</f>
        <v>#NUM!</v>
      </c>
      <c r="E139" s="7" t="e">
        <f>RATE($C$11,$C$19,$C$22)</f>
        <v>#NUM!</v>
      </c>
      <c r="F139" s="7" t="e">
        <f>RATE($C$11,$C$20,$C$22)</f>
        <v>#NUM!</v>
      </c>
      <c r="G139" s="7">
        <f>RATE($C$11,$C$21,$C$22)</f>
        <v>499</v>
      </c>
    </row>
    <row r="140" spans="2:7" x14ac:dyDescent="0.2">
      <c r="B140" s="8">
        <f>$C$12</f>
        <v>6</v>
      </c>
      <c r="C140" s="7" t="e">
        <f>RATE($C$12,$C$17,$C$22)</f>
        <v>#NUM!</v>
      </c>
      <c r="D140" s="7" t="e">
        <f>RATE($C$12,$C$18,$C$22)</f>
        <v>#NUM!</v>
      </c>
      <c r="E140" s="7" t="e">
        <f>RATE($C$12,$C$19,$C$22)</f>
        <v>#NUM!</v>
      </c>
      <c r="F140" s="7">
        <f>RATE($C$12,$C$20,$C$22)</f>
        <v>-0.9999993377532328</v>
      </c>
      <c r="G140" s="7" t="e">
        <f>RATE($C$12,$C$21,$C$22)</f>
        <v>#NUM!</v>
      </c>
    </row>
    <row r="141" spans="2:7" x14ac:dyDescent="0.2">
      <c r="B141" s="8">
        <f>$C$13</f>
        <v>12</v>
      </c>
      <c r="C141" s="7" t="e">
        <f>RATE($C$13,$C$17,$C$22)</f>
        <v>#NUM!</v>
      </c>
      <c r="D141" s="7" t="e">
        <f>RATE($C$13,$C$18,$C$22)</f>
        <v>#NUM!</v>
      </c>
      <c r="E141" s="7" t="e">
        <f>RATE($C$13,$C$19,$C$22)</f>
        <v>#NUM!</v>
      </c>
      <c r="F141" s="7" t="e">
        <f>RATE($C$13,$C$20,$C$22)</f>
        <v>#NUM!</v>
      </c>
      <c r="G141" s="7" t="e">
        <f>RATE($C$13,$C$21,$C$22)</f>
        <v>#NUM!</v>
      </c>
    </row>
    <row r="142" spans="2:7" x14ac:dyDescent="0.2">
      <c r="B142" s="8">
        <f>$C$14</f>
        <v>24</v>
      </c>
      <c r="C142" s="7" t="e">
        <f>RATE($C$14,$C$17,$C$22)</f>
        <v>#NUM!</v>
      </c>
      <c r="D142" s="7" t="e">
        <f>RATE($C$14,$C$18,$C$22)</f>
        <v>#NUM!</v>
      </c>
      <c r="E142" s="7" t="e">
        <f>RATE($C$14,$C$19,$C$22)</f>
        <v>#NUM!</v>
      </c>
      <c r="F142" s="7">
        <f>RATE($C$14,$C$20,$C$22)</f>
        <v>-0.9970141220397587</v>
      </c>
      <c r="G142" s="7" t="e">
        <f>RATE($C$14,$C$21,$C$22)</f>
        <v>#NUM!</v>
      </c>
    </row>
    <row r="143" spans="2:7" x14ac:dyDescent="0.2">
      <c r="B143" s="8">
        <f>$C$15</f>
        <v>60</v>
      </c>
      <c r="C143" s="7" t="e">
        <f>RATE($C$15,$C$17,$C$22)</f>
        <v>#NUM!</v>
      </c>
      <c r="D143" s="7" t="e">
        <f>RATE($C$15,$C$18,$C$22)</f>
        <v>#NUM!</v>
      </c>
      <c r="E143" s="7" t="e">
        <f>RATE($C$15,$C$19,$C$22)</f>
        <v>#NUM!</v>
      </c>
      <c r="F143" s="7" t="e">
        <f>RATE($C$15,$C$20,$C$22)</f>
        <v>#NUM!</v>
      </c>
      <c r="G143" s="7" t="e">
        <f>RATE($C$15,$C$21,$C$22)</f>
        <v>#NUM!</v>
      </c>
    </row>
    <row r="144" spans="2:7" x14ac:dyDescent="0.2">
      <c r="B144" s="8">
        <f>$C$16</f>
        <v>360</v>
      </c>
      <c r="C144" s="7" t="e">
        <f>RATE($C$16,$C$17,$C$22)</f>
        <v>#NUM!</v>
      </c>
      <c r="D144" s="7" t="e">
        <f>RATE($C$16,$C$18,$C$22)</f>
        <v>#NUM!</v>
      </c>
      <c r="E144" s="7" t="e">
        <f>RATE($C$16,$C$19,$C$22)</f>
        <v>#NUM!</v>
      </c>
      <c r="F144" s="7" t="e">
        <f>RATE($C$16,$C$20,$C$22)</f>
        <v>#NUM!</v>
      </c>
      <c r="G144" s="7" t="e">
        <f>RATE($C$16,$C$21,$C$22)</f>
        <v>#NUM!</v>
      </c>
    </row>
    <row r="147" spans="2:7" x14ac:dyDescent="0.2">
      <c r="B147" s="5" t="s">
        <v>75</v>
      </c>
    </row>
    <row r="148" spans="2:7" x14ac:dyDescent="0.2">
      <c r="B148" s="14" t="s">
        <v>1</v>
      </c>
      <c r="C148" s="13">
        <f>$C$22</f>
        <v>-100</v>
      </c>
      <c r="D148" s="13">
        <f>$C$23</f>
        <v>-500</v>
      </c>
      <c r="E148" s="13">
        <f>$C$24</f>
        <v>-1000</v>
      </c>
      <c r="F148" s="13">
        <f>$C$25</f>
        <v>0</v>
      </c>
      <c r="G148" s="13">
        <f>$C$26</f>
        <v>200</v>
      </c>
    </row>
    <row r="149" spans="2:7" x14ac:dyDescent="0.2">
      <c r="B149" s="8">
        <f>$C$5</f>
        <v>0</v>
      </c>
      <c r="C149" s="7">
        <f>NPER($C$5,$C$22,$C$18)</f>
        <v>-100</v>
      </c>
      <c r="D149" s="7">
        <f>NPER($C$5,$C$23,$C$18)</f>
        <v>-20</v>
      </c>
      <c r="E149" s="7">
        <f>NPER($C$5,$C$24,$C$18)</f>
        <v>-10</v>
      </c>
      <c r="F149" s="7" t="e">
        <f>NPER($C$5,$C$25,$C$18)</f>
        <v>#DIV/0!</v>
      </c>
      <c r="G149" s="7">
        <f>NPER($C$5,$C$26,$C$18)</f>
        <v>50</v>
      </c>
    </row>
    <row r="150" spans="2:7" x14ac:dyDescent="0.2">
      <c r="B150" s="8">
        <f>$C$6</f>
        <v>0.01</v>
      </c>
      <c r="C150" s="7">
        <f>NPER($C$6,$C$22,$C$18)</f>
        <v>-69.660716893574829</v>
      </c>
      <c r="D150" s="7">
        <f>NPER($C$6,$C$23,$C$18)</f>
        <v>-18.323165278057576</v>
      </c>
      <c r="E150" s="7">
        <f>NPER($C$6,$C$24,$C$18)</f>
        <v>-9.5785940398131615</v>
      </c>
      <c r="F150" s="7" t="e">
        <f>NPER($C$6,$C$25,$C$18)</f>
        <v>#NUM!</v>
      </c>
      <c r="G150" s="7">
        <f>NPER($C$6,$C$26,$C$18)</f>
        <v>69.660716893574829</v>
      </c>
    </row>
    <row r="151" spans="2:7" x14ac:dyDescent="0.2">
      <c r="B151" s="8">
        <f>$C$7</f>
        <v>0.05</v>
      </c>
      <c r="C151" s="7">
        <f>NPER($C$7,$C$22,$C$18)</f>
        <v>-36.723784388301482</v>
      </c>
      <c r="D151" s="7">
        <f>NPER($C$7,$C$23,$C$18)</f>
        <v>-14.206699082890461</v>
      </c>
      <c r="E151" s="7">
        <f>NPER($C$7,$C$24,$C$18)</f>
        <v>-8.3103862225205614</v>
      </c>
      <c r="F151" s="7" t="e">
        <f>NPER($C$7,$C$25,$C$18)</f>
        <v>#NUM!</v>
      </c>
      <c r="G151" s="7" t="e">
        <f>NPER($C$7,$C$26,$C$18)</f>
        <v>#NUM!</v>
      </c>
    </row>
    <row r="152" spans="2:7" x14ac:dyDescent="0.2">
      <c r="B152" s="8">
        <f>$C$8</f>
        <v>0.08</v>
      </c>
      <c r="C152" s="7">
        <f>NPER($C$8,$C$22,$C$18)</f>
        <v>-28.549829172006355</v>
      </c>
      <c r="D152" s="7">
        <f>NPER($C$8,$C$23,$C$18)</f>
        <v>-12.415521293914558</v>
      </c>
      <c r="E152" s="7">
        <f>NPER($C$8,$C$24,$C$18)</f>
        <v>-7.6374572930015869</v>
      </c>
      <c r="F152" s="7" t="e">
        <f>NPER($C$8,$C$25,$C$18)</f>
        <v>#NUM!</v>
      </c>
      <c r="G152" s="7" t="e">
        <f>NPER($C$8,$C$26,$C$18)</f>
        <v>#NUM!</v>
      </c>
    </row>
    <row r="153" spans="2:7" x14ac:dyDescent="0.2">
      <c r="B153" s="8">
        <f>$C$9</f>
        <v>0.1</v>
      </c>
      <c r="C153" s="7">
        <f>NPER($C$9,$C$22,$C$18)</f>
        <v>-25.158857928096786</v>
      </c>
      <c r="D153" s="7">
        <f>NPER($C$9,$C$23,$C$18)</f>
        <v>-11.526704607247604</v>
      </c>
      <c r="E153" s="7">
        <f>NPER($C$9,$C$24,$C$18)</f>
        <v>-7.2725408973417132</v>
      </c>
      <c r="F153" s="7" t="e">
        <f>NPER($C$9,$C$25,$C$18)</f>
        <v>#NUM!</v>
      </c>
      <c r="G153" s="7" t="e">
        <f>NPER($C$9,$C$26,$C$18)</f>
        <v>#NUM!</v>
      </c>
    </row>
    <row r="154" spans="2:7" x14ac:dyDescent="0.2">
      <c r="B154" s="8">
        <f>$C$10</f>
        <v>0.15</v>
      </c>
      <c r="C154" s="7">
        <f>NPER($C$10,$C$22,$C$18)</f>
        <v>-19.837937818561564</v>
      </c>
      <c r="D154" s="7">
        <f>NPER($C$10,$C$23,$C$18)</f>
        <v>-9.9189689092807818</v>
      </c>
      <c r="E154" s="7">
        <f>NPER($C$10,$C$24,$C$18)</f>
        <v>-6.5560818367462605</v>
      </c>
      <c r="F154" s="7" t="e">
        <f>NPER($C$10,$C$25,$C$18)</f>
        <v>#NUM!</v>
      </c>
      <c r="G154" s="7" t="e">
        <f>NPER($C$10,$C$26,$C$18)</f>
        <v>#NUM!</v>
      </c>
    </row>
    <row r="157" spans="2:7" x14ac:dyDescent="0.2">
      <c r="B157" s="5" t="s">
        <v>76</v>
      </c>
    </row>
    <row r="158" spans="2:7" x14ac:dyDescent="0.2">
      <c r="B158" s="14" t="s">
        <v>1</v>
      </c>
      <c r="C158" s="13">
        <f>$C$35</f>
        <v>1000</v>
      </c>
      <c r="D158" s="13">
        <f>$C$36</f>
        <v>5000</v>
      </c>
    </row>
    <row r="159" spans="2:7" x14ac:dyDescent="0.2">
      <c r="B159" s="8">
        <f>$C$33</f>
        <v>10000</v>
      </c>
      <c r="C159" s="7">
        <f>SLN($C$33,$C$35,$C$37)</f>
        <v>1800</v>
      </c>
      <c r="D159" s="7">
        <f>SLN($C$33,$C$36,$C$37)</f>
        <v>1000</v>
      </c>
    </row>
    <row r="160" spans="2:7" x14ac:dyDescent="0.2">
      <c r="B160" s="8">
        <f>$C$34</f>
        <v>50000</v>
      </c>
      <c r="C160" s="7">
        <f>SLN($C$34,$C$35,$C$37)</f>
        <v>9800</v>
      </c>
      <c r="D160" s="7">
        <f>SLN($C$34,$C$36,$C$37)</f>
        <v>9000</v>
      </c>
    </row>
    <row r="163" spans="2:4" x14ac:dyDescent="0.2">
      <c r="B163" s="5" t="s">
        <v>77</v>
      </c>
    </row>
    <row r="164" spans="2:4" x14ac:dyDescent="0.2">
      <c r="B164" s="14" t="s">
        <v>1</v>
      </c>
      <c r="C164" s="13">
        <f>$C$37</f>
        <v>5</v>
      </c>
      <c r="D164" s="13">
        <f>$C$38</f>
        <v>10</v>
      </c>
    </row>
    <row r="165" spans="2:4" x14ac:dyDescent="0.2">
      <c r="B165" s="8">
        <f>$C$39</f>
        <v>1</v>
      </c>
      <c r="C165" s="7">
        <f>DB($C$33,$C$35,$C$37,$C$39)</f>
        <v>3690</v>
      </c>
      <c r="D165" s="7">
        <f>DB($C$33,$C$35,$C$38,$C$39)</f>
        <v>2060</v>
      </c>
    </row>
    <row r="166" spans="2:4" x14ac:dyDescent="0.2">
      <c r="B166" s="8">
        <f>$C$40</f>
        <v>2</v>
      </c>
      <c r="C166" s="7">
        <f>DB($C$33,$C$35,$C$37,$C$40)</f>
        <v>2328.39</v>
      </c>
      <c r="D166" s="7">
        <f>DB($C$33,$C$35,$C$38,$C$40)</f>
        <v>1635.6399999999999</v>
      </c>
    </row>
    <row r="167" spans="2:4" x14ac:dyDescent="0.2">
      <c r="B167" s="8">
        <f>$C$41</f>
        <v>3</v>
      </c>
      <c r="C167" s="7">
        <f>DB($C$33,$C$35,$C$37,$C$41)</f>
        <v>1469.2140899999999</v>
      </c>
      <c r="D167" s="7">
        <f>DB($C$33,$C$35,$C$38,$C$41)</f>
        <v>1298.6981600000001</v>
      </c>
    </row>
    <row r="170" spans="2:4" x14ac:dyDescent="0.2">
      <c r="B170" s="5" t="s">
        <v>78</v>
      </c>
    </row>
    <row r="171" spans="2:4" x14ac:dyDescent="0.2">
      <c r="B171" s="14" t="s">
        <v>1</v>
      </c>
      <c r="C171" s="13">
        <f>$C$37</f>
        <v>5</v>
      </c>
      <c r="D171" s="13">
        <f>$C$38</f>
        <v>10</v>
      </c>
    </row>
    <row r="172" spans="2:4" x14ac:dyDescent="0.2">
      <c r="B172" s="8">
        <f>$C$39</f>
        <v>1</v>
      </c>
      <c r="C172" s="7">
        <f>DDB($C$33,$C$35,$C$37,$C$39)</f>
        <v>4000</v>
      </c>
      <c r="D172" s="7">
        <f>DDB($C$33,$C$35,$C$38,$C$39)</f>
        <v>2000</v>
      </c>
    </row>
    <row r="173" spans="2:4" x14ac:dyDescent="0.2">
      <c r="B173" s="8">
        <f>$C$40</f>
        <v>2</v>
      </c>
      <c r="C173" s="7">
        <f>DDB($C$33,$C$35,$C$37,$C$40)</f>
        <v>2400</v>
      </c>
      <c r="D173" s="7">
        <f>DDB($C$33,$C$35,$C$38,$C$40)</f>
        <v>1600</v>
      </c>
    </row>
    <row r="174" spans="2:4" x14ac:dyDescent="0.2">
      <c r="B174" s="8">
        <f>$C$41</f>
        <v>3</v>
      </c>
      <c r="C174" s="7">
        <f>DDB($C$33,$C$35,$C$37,$C$41)</f>
        <v>1440</v>
      </c>
      <c r="D174" s="7">
        <f>DDB($C$33,$C$35,$C$38,$C$41)</f>
        <v>1280.0000000000002</v>
      </c>
    </row>
    <row r="175" spans="2:4" x14ac:dyDescent="0.2">
      <c r="B175" s="9" t="s">
        <v>79</v>
      </c>
    </row>
    <row r="176" spans="2:4" x14ac:dyDescent="0.2">
      <c r="B176" s="14" t="s">
        <v>1</v>
      </c>
      <c r="C176" s="13">
        <f>$C$37</f>
        <v>5</v>
      </c>
      <c r="D176" s="13">
        <f>$C$38</f>
        <v>10</v>
      </c>
    </row>
    <row r="177" spans="2:5" x14ac:dyDescent="0.2">
      <c r="B177" s="8">
        <f>$C$39</f>
        <v>1</v>
      </c>
      <c r="C177" s="7">
        <f>DDB($C$33,$C$35,$C$37,$C$39,1.5)</f>
        <v>3000</v>
      </c>
      <c r="D177" s="7">
        <f>DDB($C$33,$C$35,$C$38,$C$39,1.5)</f>
        <v>1500</v>
      </c>
    </row>
    <row r="178" spans="2:5" x14ac:dyDescent="0.2">
      <c r="B178" s="8">
        <f>$C$40</f>
        <v>2</v>
      </c>
      <c r="C178" s="7">
        <f>DDB($C$33,$C$35,$C$37,$C$40,1.5)</f>
        <v>2100</v>
      </c>
      <c r="D178" s="7">
        <f>DDB($C$33,$C$35,$C$38,$C$40,1.5)</f>
        <v>1275</v>
      </c>
    </row>
    <row r="179" spans="2:5" x14ac:dyDescent="0.2">
      <c r="B179" s="8">
        <f>$C$41</f>
        <v>3</v>
      </c>
      <c r="C179" s="7">
        <f>DDB($C$33,$C$35,$C$37,$C$41,1.5)</f>
        <v>1469.9999999999998</v>
      </c>
      <c r="D179" s="7">
        <f>DDB($C$33,$C$35,$C$38,$C$41,1.5)</f>
        <v>1083.7499999999998</v>
      </c>
    </row>
    <row r="182" spans="2:5" x14ac:dyDescent="0.2">
      <c r="B182" s="5" t="s">
        <v>80</v>
      </c>
    </row>
    <row r="183" spans="2:5" x14ac:dyDescent="0.2">
      <c r="B183" s="14" t="s">
        <v>1</v>
      </c>
      <c r="C183" s="12" t="s">
        <v>67</v>
      </c>
      <c r="D183" s="12" t="s">
        <v>68</v>
      </c>
      <c r="E183" s="12" t="s">
        <v>69</v>
      </c>
    </row>
    <row r="184" spans="2:5" x14ac:dyDescent="0.2">
      <c r="B184" s="8">
        <f>$C$5</f>
        <v>0</v>
      </c>
      <c r="C184" s="7" t="e">
        <f>XNPV($C$5,$C$47:$C$51,$C$42:$C$46)</f>
        <v>#NUM!</v>
      </c>
      <c r="D184" s="7" t="e">
        <f>XNPV($C$5,$C$52:$C$56,$C$42:$C$46)</f>
        <v>#NUM!</v>
      </c>
      <c r="E184" s="7" t="e">
        <f>XNPV($C$5,$C$57:$C$61,$C$42:$C$46)</f>
        <v>#NUM!</v>
      </c>
    </row>
    <row r="185" spans="2:5" x14ac:dyDescent="0.2">
      <c r="B185" s="8">
        <f>$C$6</f>
        <v>0.01</v>
      </c>
      <c r="C185" s="7">
        <f>XNPV($C$6,$C$47:$C$51,$C$42:$C$46)</f>
        <v>3832.349896231653</v>
      </c>
      <c r="D185" s="7">
        <f>XNPV($C$6,$C$52:$C$56,$C$42:$C$46)</f>
        <v>9260.4784423070359</v>
      </c>
      <c r="E185" s="7">
        <f>XNPV($C$6,$C$57:$C$61,$C$42:$C$46)</f>
        <v>287.1758359297495</v>
      </c>
    </row>
    <row r="186" spans="2:5" x14ac:dyDescent="0.2">
      <c r="B186" s="8">
        <f>$C$7</f>
        <v>0.05</v>
      </c>
      <c r="C186" s="7">
        <f>XNPV($C$7,$C$47:$C$51,$C$42:$C$46)</f>
        <v>3199.945155178621</v>
      </c>
      <c r="D186" s="7">
        <f>XNPV($C$7,$C$52:$C$56,$C$42:$C$46)</f>
        <v>6476.8182360470382</v>
      </c>
      <c r="E186" s="7">
        <f>XNPV($C$7,$C$57:$C$61,$C$42:$C$46)</f>
        <v>238.58771784228873</v>
      </c>
    </row>
    <row r="187" spans="2:5" x14ac:dyDescent="0.2">
      <c r="B187" s="8">
        <f>$C$8</f>
        <v>0.08</v>
      </c>
      <c r="C187" s="7">
        <f>XNPV($C$8,$C$47:$C$51,$C$42:$C$46)</f>
        <v>2762.318238689782</v>
      </c>
      <c r="D187" s="7">
        <f>XNPV($C$8,$C$52:$C$56,$C$42:$C$46)</f>
        <v>4556.1108905921428</v>
      </c>
      <c r="E187" s="7">
        <f>XNPV($C$8,$C$57:$C$61,$C$42:$C$46)</f>
        <v>204.75801347837762</v>
      </c>
    </row>
    <row r="188" spans="2:5" x14ac:dyDescent="0.2">
      <c r="B188" s="8">
        <f>$C$9</f>
        <v>0.1</v>
      </c>
      <c r="C188" s="7">
        <f>XNPV($C$9,$C$47:$C$51,$C$42:$C$46)</f>
        <v>2486.3832858284013</v>
      </c>
      <c r="D188" s="7">
        <f>XNPV($C$9,$C$52:$C$56,$C$42:$C$46)</f>
        <v>3347.4558338493971</v>
      </c>
      <c r="E188" s="7">
        <f>XNPV($C$9,$C$57:$C$61,$C$42:$C$46)</f>
        <v>183.33617539326025</v>
      </c>
    </row>
    <row r="189" spans="2:5" x14ac:dyDescent="0.2">
      <c r="B189" s="8">
        <f>$C$10</f>
        <v>0.15</v>
      </c>
      <c r="C189" s="7">
        <f>XNPV($C$10,$C$47:$C$51,$C$42:$C$46)</f>
        <v>1846.3679667965569</v>
      </c>
      <c r="D189" s="7">
        <f>XNPV($C$10,$C$52:$C$56,$C$42:$C$46)</f>
        <v>551.33591470810279</v>
      </c>
      <c r="E189" s="7">
        <f>XNPV($C$10,$C$57:$C$61,$C$42:$C$46)</f>
        <v>133.3626184563833</v>
      </c>
    </row>
    <row r="192" spans="2:5" x14ac:dyDescent="0.2">
      <c r="B192" s="5" t="s">
        <v>81</v>
      </c>
    </row>
    <row r="193" spans="2:5" x14ac:dyDescent="0.2">
      <c r="B193" s="14" t="s">
        <v>1</v>
      </c>
      <c r="C193" s="12" t="s">
        <v>71</v>
      </c>
      <c r="D193" s="12" t="s">
        <v>72</v>
      </c>
      <c r="E193" s="12" t="s">
        <v>73</v>
      </c>
    </row>
    <row r="194" spans="2:5" x14ac:dyDescent="0.2">
      <c r="B194" s="6" t="s">
        <v>67</v>
      </c>
      <c r="C194" s="7">
        <f>XIRR($C$47:$C$51,$C$42:$C$46,0.1)</f>
        <v>0.33071877360343938</v>
      </c>
      <c r="D194" s="7">
        <f>XIRR($C$47:$C$51,$C$42:$C$46,0.2)</f>
        <v>0.33071877360343938</v>
      </c>
      <c r="E194" s="7">
        <f>XIRR($C$47:$C$51,$C$42:$C$46,0.5)</f>
        <v>0.33071877807378769</v>
      </c>
    </row>
    <row r="195" spans="2:5" x14ac:dyDescent="0.2">
      <c r="B195" s="6" t="s">
        <v>68</v>
      </c>
      <c r="C195" s="7">
        <f>XIRR($C$52:$C$56,$C$42:$C$46,0.1)</f>
        <v>0.16053324341773992</v>
      </c>
      <c r="D195" s="7">
        <f>XIRR($C$52:$C$56,$C$42:$C$46,0.2)</f>
        <v>0.16053324341773992</v>
      </c>
      <c r="E195" s="7">
        <f>XIRR($C$52:$C$56,$C$42:$C$46,0.5)</f>
        <v>0.16053323820233345</v>
      </c>
    </row>
    <row r="196" spans="2:5" x14ac:dyDescent="0.2">
      <c r="B196" s="6" t="s">
        <v>69</v>
      </c>
      <c r="C196" s="7">
        <f>XIRR($C$57:$C$61,$C$42:$C$46,0.1)</f>
        <v>0.31176053881645216</v>
      </c>
      <c r="D196" s="7">
        <f>XIRR($C$57:$C$61,$C$42:$C$46,0.2)</f>
        <v>0.31176053881645216</v>
      </c>
      <c r="E196" s="7">
        <f>XIRR($C$57:$C$61,$C$42:$C$46,0.5)</f>
        <v>0.31176053732633591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2026-02-10T00:11:27Z</dcterms:created>
  <dcterms:modified xsi:type="dcterms:W3CDTF">2026-02-10T00:43:45Z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f3333868-6175-42f4-9ddd-2f197d20c1e6</vt:lpwstr>
  </property>
</Properties>
</file>