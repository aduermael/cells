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110"/>
  <x: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financial/"/>
    </mc:Choice>
  </mc:AlternateContent>
  <xr:revisionPtr revIDLastSave="0" documentId="8_{93F99AB7-B525-7349-A3B6-7731FBCDE6C1}" xr6:coauthVersionLast="47" xr6:coauthVersionMax="47" xr10:uidLastSave="{00000000-0000-0000-0000-000000000000}"/>
  <x:bookViews>
    <x:workbookView xWindow="3320" yWindow="1860" windowWidth="29700" windowHeight="19620" xr2:uid="{CBB0D7E8-1790-9042-9BD9-D40641B90617}"/>
  </x:bookViews>
  <x:sheets>
    <x:sheet name="Sheet1" sheetId="1" r:id="rId1"/>
  </x:sheet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C196" i="1" l="1"/>
  <c r="D196" i="1"/>
  <c r="E196" i="1"/>
  <c r="C195" i="1"/>
  <c r="D195" i="1"/>
  <c r="E195" i="1"/>
  <c r="C194" i="1"/>
  <c r="D194" i="1"/>
  <c r="E194" i="1"/>
  <c r="C189" i="1"/>
  <c r="D189" i="1"/>
  <c r="E189" i="1"/>
  <c r="B189" i="1"/>
  <c r="C188" i="1"/>
  <c r="D188" i="1"/>
  <c r="E188" i="1"/>
  <c r="B188" i="1"/>
  <c r="C187" i="1"/>
  <c r="D187" i="1"/>
  <c r="E187" i="1"/>
  <c r="B187" i="1"/>
  <c r="C186" i="1"/>
  <c r="D186" i="1"/>
  <c r="E186" i="1"/>
  <c r="B186" i="1"/>
  <c r="C185" i="1"/>
  <c r="D185" i="1"/>
  <c r="E185" i="1"/>
  <c r="B185" i="1"/>
  <c r="C184" i="1"/>
  <c r="D184" i="1"/>
  <c r="E184" i="1"/>
  <c r="B184" i="1"/>
  <c r="C179" i="1"/>
  <c r="D179" i="1"/>
  <c r="B179" i="1"/>
  <c r="C178" i="1"/>
  <c r="D178" i="1"/>
  <c r="B178" i="1"/>
  <c r="C177" i="1"/>
  <c r="D177" i="1"/>
  <c r="B177" i="1"/>
  <c r="C176" i="1"/>
  <c r="D176" i="1"/>
  <c r="C174" i="1"/>
  <c r="D174" i="1"/>
  <c r="B174" i="1"/>
  <c r="C173" i="1"/>
  <c r="D173" i="1"/>
  <c r="B173" i="1"/>
  <c r="C172" i="1"/>
  <c r="D172" i="1"/>
  <c r="B172" i="1"/>
  <c r="C171" i="1"/>
  <c r="D171" i="1"/>
  <c r="C167" i="1"/>
  <c r="D167" i="1"/>
  <c r="B167" i="1"/>
  <c r="C166" i="1"/>
  <c r="D166" i="1"/>
  <c r="B166" i="1"/>
  <c r="C165" i="1"/>
  <c r="D165" i="1"/>
  <c r="B165" i="1"/>
  <c r="C164" i="1"/>
  <c r="D164" i="1"/>
  <c r="C160" i="1"/>
  <c r="D160" i="1"/>
  <c r="B160" i="1"/>
  <c r="C159" i="1"/>
  <c r="D159" i="1"/>
  <c r="B159" i="1"/>
  <c r="C158" i="1"/>
  <c r="D158" i="1"/>
  <c r="C154" i="1"/>
  <c r="D154" i="1"/>
  <c r="E154" i="1"/>
  <c r="F154" i="1"/>
  <c r="G154" i="1"/>
  <c r="B154" i="1"/>
  <c r="C153" i="1"/>
  <c r="D153" i="1"/>
  <c r="E153" i="1"/>
  <c r="F153" i="1"/>
  <c r="G153" i="1"/>
  <c r="B153" i="1"/>
  <c r="C152" i="1"/>
  <c r="D152" i="1"/>
  <c r="E152" i="1"/>
  <c r="F152" i="1"/>
  <c r="G152" i="1"/>
  <c r="B152" i="1"/>
  <c r="C151" i="1"/>
  <c r="D151" i="1"/>
  <c r="E151" i="1"/>
  <c r="F151" i="1"/>
  <c r="G151" i="1"/>
  <c r="B151" i="1"/>
  <c r="C150" i="1"/>
  <c r="D150" i="1"/>
  <c r="E150" i="1"/>
  <c r="F150" i="1"/>
  <c r="G150" i="1"/>
  <c r="B150" i="1"/>
  <c r="C149" i="1"/>
  <c r="D149" i="1"/>
  <c r="E149" i="1"/>
  <c r="F149" i="1"/>
  <c r="G149" i="1"/>
  <c r="B149" i="1"/>
  <c r="C148" i="1"/>
  <c r="D148" i="1"/>
  <c r="E148" i="1"/>
  <c r="F148" i="1"/>
  <c r="G148" i="1"/>
  <c r="C144" i="1"/>
  <c r="D144" i="1"/>
  <c r="E144" i="1"/>
  <c r="F144" i="1"/>
  <c r="G144" i="1"/>
  <c r="B144" i="1"/>
  <c r="C143" i="1"/>
  <c r="D143" i="1"/>
  <c r="E143" i="1"/>
  <c r="F143" i="1"/>
  <c r="G143" i="1"/>
  <c r="B143" i="1"/>
  <c r="C142" i="1"/>
  <c r="D142" i="1"/>
  <c r="E142" i="1"/>
  <c r="F142" i="1"/>
  <c r="G142" i="1"/>
  <c r="B142" i="1"/>
  <c r="C141" i="1"/>
  <c r="D141" i="1"/>
  <c r="E141" i="1"/>
  <c r="F141" i="1"/>
  <c r="G141" i="1"/>
  <c r="B141" i="1"/>
  <c r="C140" i="1"/>
  <c r="D140" i="1"/>
  <c r="E140" i="1"/>
  <c r="F140" i="1"/>
  <c r="G140" i="1"/>
  <c r="B140" i="1"/>
  <c r="C139" i="1"/>
  <c r="D139" i="1"/>
  <c r="E139" i="1"/>
  <c r="F139" i="1"/>
  <c r="G139" i="1"/>
  <c r="B139" i="1"/>
  <c r="C138" i="1"/>
  <c r="D138" i="1"/>
  <c r="E138" i="1"/>
  <c r="F138" i="1"/>
  <c r="G138" i="1"/>
  <c r="C134" i="1"/>
  <c r="D134" i="1"/>
  <c r="E134" i="1"/>
  <c r="C133" i="1"/>
  <c r="D133" i="1"/>
  <c r="E133" i="1"/>
  <c r="C132" i="1"/>
  <c r="D132" i="1"/>
  <c r="E132" i="1"/>
  <c r="C127" i="1"/>
  <c r="D127" i="1"/>
  <c r="E127" i="1"/>
  <c r="B127" i="1"/>
  <c r="C126" i="1"/>
  <c r="D126" i="1"/>
  <c r="E126" i="1"/>
  <c r="B126" i="1"/>
  <c r="C125" i="1"/>
  <c r="D125" i="1"/>
  <c r="E125" i="1"/>
  <c r="B125" i="1"/>
  <c r="C124" i="1"/>
  <c r="D124" i="1"/>
  <c r="E124" i="1"/>
  <c r="B124" i="1"/>
  <c r="C123" i="1"/>
  <c r="D123" i="1"/>
  <c r="E123" i="1"/>
  <c r="B123" i="1"/>
  <c r="C122" i="1"/>
  <c r="D122" i="1"/>
  <c r="E122" i="1"/>
  <c r="B122" i="1"/>
  <c r="C117" i="1"/>
  <c r="D117" i="1"/>
  <c r="E117" i="1"/>
  <c r="F117" i="1"/>
  <c r="G117" i="1"/>
  <c r="H117" i="1"/>
  <c r="B117" i="1"/>
  <c r="C116" i="1"/>
  <c r="D116" i="1"/>
  <c r="E116" i="1"/>
  <c r="F116" i="1"/>
  <c r="G116" i="1"/>
  <c r="H116" i="1"/>
  <c r="B116" i="1"/>
  <c r="C115" i="1"/>
  <c r="D115" i="1"/>
  <c r="E115" i="1"/>
  <c r="F115" i="1"/>
  <c r="G115" i="1"/>
  <c r="H115" i="1"/>
  <c r="B115" i="1"/>
  <c r="C114" i="1"/>
  <c r="D114" i="1"/>
  <c r="E114" i="1"/>
  <c r="F114" i="1"/>
  <c r="G114" i="1"/>
  <c r="H114" i="1"/>
  <c r="B114" i="1"/>
  <c r="C113" i="1"/>
  <c r="D113" i="1"/>
  <c r="E113" i="1"/>
  <c r="F113" i="1"/>
  <c r="G113" i="1"/>
  <c r="H113" i="1"/>
  <c r="B113" i="1"/>
  <c r="C112" i="1"/>
  <c r="D112" i="1"/>
  <c r="E112" i="1"/>
  <c r="F112" i="1"/>
  <c r="G112" i="1"/>
  <c r="H112" i="1"/>
  <c r="B112" i="1"/>
  <c r="C111" i="1"/>
  <c r="D111" i="1"/>
  <c r="E111" i="1"/>
  <c r="F111" i="1"/>
  <c r="G111" i="1"/>
  <c r="H111" i="1"/>
  <c r="C108" i="1"/>
  <c r="D108" i="1"/>
  <c r="E108" i="1"/>
  <c r="F108" i="1"/>
  <c r="G108" i="1"/>
  <c r="H108" i="1"/>
  <c r="B108" i="1"/>
  <c r="C107" i="1"/>
  <c r="D107" i="1"/>
  <c r="E107" i="1"/>
  <c r="F107" i="1"/>
  <c r="G107" i="1"/>
  <c r="H107" i="1"/>
  <c r="B107" i="1"/>
  <c r="C106" i="1"/>
  <c r="D106" i="1"/>
  <c r="E106" i="1"/>
  <c r="F106" i="1"/>
  <c r="G106" i="1"/>
  <c r="H106" i="1"/>
  <c r="B106" i="1"/>
  <c r="C105" i="1"/>
  <c r="D105" i="1"/>
  <c r="E105" i="1"/>
  <c r="F105" i="1"/>
  <c r="G105" i="1"/>
  <c r="H105" i="1"/>
  <c r="B105" i="1"/>
  <c r="C104" i="1"/>
  <c r="D104" i="1"/>
  <c r="E104" i="1"/>
  <c r="F104" i="1"/>
  <c r="G104" i="1"/>
  <c r="H104" i="1"/>
  <c r="B104" i="1"/>
  <c r="C103" i="1"/>
  <c r="D103" i="1"/>
  <c r="E103" i="1"/>
  <c r="F103" i="1"/>
  <c r="G103" i="1"/>
  <c r="H103" i="1"/>
  <c r="B103" i="1"/>
  <c r="C102" i="1"/>
  <c r="D102" i="1"/>
  <c r="E102" i="1"/>
  <c r="F102" i="1"/>
  <c r="G102" i="1"/>
  <c r="H102" i="1"/>
  <c r="C98" i="1"/>
  <c r="D98" i="1"/>
  <c r="E98" i="1"/>
  <c r="F98" i="1"/>
  <c r="G98" i="1"/>
  <c r="H98" i="1"/>
  <c r="B98" i="1"/>
  <c r="C97" i="1"/>
  <c r="D97" i="1"/>
  <c r="E97" i="1"/>
  <c r="F97" i="1"/>
  <c r="G97" i="1"/>
  <c r="H97" i="1"/>
  <c r="B97" i="1"/>
  <c r="C96" i="1"/>
  <c r="D96" i="1"/>
  <c r="E96" i="1"/>
  <c r="F96" i="1"/>
  <c r="G96" i="1"/>
  <c r="H96" i="1"/>
  <c r="B96" i="1"/>
  <c r="C95" i="1"/>
  <c r="D95" i="1"/>
  <c r="E95" i="1"/>
  <c r="F95" i="1"/>
  <c r="G95" i="1"/>
  <c r="H95" i="1"/>
  <c r="B95" i="1"/>
  <c r="C94" i="1"/>
  <c r="D94" i="1"/>
  <c r="E94" i="1"/>
  <c r="F94" i="1"/>
  <c r="G94" i="1"/>
  <c r="H94" i="1"/>
  <c r="B94" i="1"/>
  <c r="C93" i="1"/>
  <c r="D93" i="1"/>
  <c r="E93" i="1"/>
  <c r="F93" i="1"/>
  <c r="G93" i="1"/>
  <c r="H93" i="1"/>
  <c r="B93" i="1"/>
  <c r="C92" i="1"/>
  <c r="D92" i="1"/>
  <c r="E92" i="1"/>
  <c r="F92" i="1"/>
  <c r="G92" i="1"/>
  <c r="H92" i="1"/>
  <c r="C89" i="1"/>
  <c r="D89" i="1"/>
  <c r="E89" i="1"/>
  <c r="F89" i="1"/>
  <c r="G89" i="1"/>
  <c r="H89" i="1"/>
  <c r="B89" i="1"/>
  <c r="C88" i="1"/>
  <c r="D88" i="1"/>
  <c r="E88" i="1"/>
  <c r="F88" i="1"/>
  <c r="G88" i="1"/>
  <c r="H88" i="1"/>
  <c r="B88" i="1"/>
  <c r="C87" i="1"/>
  <c r="D87" i="1"/>
  <c r="E87" i="1"/>
  <c r="F87" i="1"/>
  <c r="G87" i="1"/>
  <c r="H87" i="1"/>
  <c r="B87" i="1"/>
  <c r="C86" i="1"/>
  <c r="D86" i="1"/>
  <c r="E86" i="1"/>
  <c r="F86" i="1"/>
  <c r="G86" i="1"/>
  <c r="H86" i="1"/>
  <c r="B86" i="1"/>
  <c r="C85" i="1"/>
  <c r="D85" i="1"/>
  <c r="E85" i="1"/>
  <c r="F85" i="1"/>
  <c r="G85" i="1"/>
  <c r="H85" i="1"/>
  <c r="B85" i="1"/>
  <c r="C84" i="1"/>
  <c r="D84" i="1"/>
  <c r="E84" i="1"/>
  <c r="F84" i="1"/>
  <c r="G84" i="1"/>
  <c r="H84" i="1"/>
  <c r="B84" i="1"/>
  <c r="C83" i="1"/>
  <c r="D83" i="1"/>
  <c r="E83" i="1"/>
  <c r="F83" i="1"/>
  <c r="G83" i="1"/>
  <c r="H83" i="1"/>
  <c r="B75" i="1"/>
  <c r="B76" i="1"/>
  <c r="B77" i="1"/>
  <c r="B78" i="1"/>
  <c r="B79" i="1"/>
  <c r="B80" i="1"/>
  <c r="B66" i="1"/>
  <c r="B67" i="1"/>
  <c r="B68" i="1"/>
  <c r="B69" i="1"/>
  <c r="B70" i="1"/>
  <c r="B71" i="1"/>
  <c r="C74" i="1"/>
  <c r="D74" i="1"/>
  <c r="E74" i="1"/>
  <c r="F74" i="1"/>
  <c r="G74" i="1"/>
  <c r="H74" i="1"/>
  <c r="C65" i="1"/>
  <c r="D65" i="1"/>
  <c r="E65" i="1"/>
  <c r="F65" i="1"/>
  <c r="G65" i="1"/>
  <c r="H65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</calcChain>
</file>

<file path=xl/sharedStrings.xml><?xml version="1.0" encoding="utf-8"?>
<sst xmlns="http://schemas.openxmlformats.org/spreadsheetml/2006/main" count="109" uniqueCount="82">
  <si>
    <t>Test Input Values</t>
  </si>
  <si>
    <t>A \ B</t>
  </si>
  <si>
    <t>FINANCIAL FUNCTIONS TEST SUITE</t>
  </si>
  <si>
    <t>Rate 0%</t>
  </si>
  <si>
    <t>Rate 1%</t>
  </si>
  <si>
    <t>Rate 5%</t>
  </si>
  <si>
    <t>Rate 8%</t>
  </si>
  <si>
    <t>Rate 10%</t>
  </si>
  <si>
    <t>Rate 15%</t>
  </si>
  <si>
    <t>Nper 1</t>
  </si>
  <si>
    <t>Nper 6</t>
  </si>
  <si>
    <t>Nper 12</t>
  </si>
  <si>
    <t>Nper 24</t>
  </si>
  <si>
    <t>Nper 60</t>
  </si>
  <si>
    <t>Nper 360</t>
  </si>
  <si>
    <t>PV -1000</t>
  </si>
  <si>
    <t>PV -10000</t>
  </si>
  <si>
    <t>PV -100000</t>
  </si>
  <si>
    <t>PV 0</t>
  </si>
  <si>
    <t>PV 50000</t>
  </si>
  <si>
    <t>PMT -100</t>
  </si>
  <si>
    <t>PMT -500</t>
  </si>
  <si>
    <t>PMT -1000</t>
  </si>
  <si>
    <t>PMT 0</t>
  </si>
  <si>
    <t>PMT 200</t>
  </si>
  <si>
    <t>FV 0</t>
  </si>
  <si>
    <t>FV 1000</t>
  </si>
  <si>
    <t>FV 10000</t>
  </si>
  <si>
    <t>FV 50000</t>
  </si>
  <si>
    <t>Type End</t>
  </si>
  <si>
    <t>Type Begin</t>
  </si>
  <si>
    <t>Cost 10000</t>
  </si>
  <si>
    <t>Cost 50000</t>
  </si>
  <si>
    <t>Salvage 1000</t>
  </si>
  <si>
    <t>Salvage 5000</t>
  </si>
  <si>
    <t>Life 5</t>
  </si>
  <si>
    <t>Life 10</t>
  </si>
  <si>
    <t>Period 1</t>
  </si>
  <si>
    <t>Period 2</t>
  </si>
  <si>
    <t>Period 3</t>
  </si>
  <si>
    <t>Date 0</t>
  </si>
  <si>
    <t>Date 1</t>
  </si>
  <si>
    <t>Date 2</t>
  </si>
  <si>
    <t>Date 3</t>
  </si>
  <si>
    <t>Date 4</t>
  </si>
  <si>
    <t>CF Set A: CF0</t>
  </si>
  <si>
    <t>CF Set A: CF1</t>
  </si>
  <si>
    <t>CF Set A: CF2</t>
  </si>
  <si>
    <t>CF Set A: CF3</t>
  </si>
  <si>
    <t>CF Set A: CF4</t>
  </si>
  <si>
    <t>CF Set B: CF0</t>
  </si>
  <si>
    <t>CF Set B: CF1</t>
  </si>
  <si>
    <t>CF Set B: CF2</t>
  </si>
  <si>
    <t>CF Set B: CF3</t>
  </si>
  <si>
    <t>CF Set B: CF4</t>
  </si>
  <si>
    <t>CF Set C: CF0</t>
  </si>
  <si>
    <t>CF Set C: CF1</t>
  </si>
  <si>
    <t>CF Set C: CF2</t>
  </si>
  <si>
    <t>CF Set C: CF3</t>
  </si>
  <si>
    <t>CF Set C: CF4</t>
  </si>
  <si>
    <t>1. PMT (Rate × Nper, PV=-10000, FV=0, Type=0)</t>
  </si>
  <si>
    <t>PMT with Type=1 (Begin)</t>
  </si>
  <si>
    <t>2. FV (Rate × Nper, PMT=-100, PV=0, Type=0)</t>
  </si>
  <si>
    <t>FV with PV=-10000, Type=1</t>
  </si>
  <si>
    <t>3. PV (Rate × Nper, PMT=-100, FV=0, Type=0)</t>
  </si>
  <si>
    <t>PV with FV=10000, Type=1</t>
  </si>
  <si>
    <t>4. NPV (Rate × Cash Flow Sets)</t>
  </si>
  <si>
    <t>Set A</t>
  </si>
  <si>
    <t>Set B</t>
  </si>
  <si>
    <t>Set C</t>
  </si>
  <si>
    <t>5. IRR (Cash Flow Sets × Guess Values)</t>
  </si>
  <si>
    <t>Guess=0.1</t>
  </si>
  <si>
    <t>Guess=0.2</t>
  </si>
  <si>
    <t>Guess=0.5</t>
  </si>
  <si>
    <t>6. RATE (Nper × PV, PMT=-100)</t>
  </si>
  <si>
    <t>7. NPER (Rate × PMT, PV=-10000)</t>
  </si>
  <si>
    <t>8. SLN (Cost × Salvage, Life=5)</t>
  </si>
  <si>
    <t>9. DB (Period × Life, Cost=10000, Salvage=1000)</t>
  </si>
  <si>
    <t>10. DDB (Period × Life, Cost=10000, Salvage=1000)</t>
  </si>
  <si>
    <t>DDB with Factor=1.5</t>
  </si>
  <si>
    <t>11. XNPV (Rate × Cash Flow Sets with Dates)</t>
  </si>
  <si>
    <t>12. XIRR (Cash Flow Sets × Guess Values with Dates)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</si>
</sst>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1" fontId="4" fillId="0" borderId="0" xfId="0" applyNumberFormat="1" applyFont="1"/>
    <xf numFmtId="0" fontId="3" fillId="0" borderId="0" xfId="0" applyFont="1"/>
    <xf numFmtId="0" fontId="6" fillId="2" borderId="0" xfId="0" applyFont="1" applyFill="1"/>
    <xf numFmtId="11" fontId="2" fillId="0" borderId="0" xfId="0" applyNumberFormat="1" applyFont="1" applyAlignment="1">
      <alignment horizontal="center"/>
    </xf>
    <xf numFmtId="11" fontId="6" fillId="2" borderId="0" xfId="0" applyNumberFormat="1" applyFont="1" applyFill="1"/>
    <xf numFmtId="0" fontId="6" fillId="0" borderId="0" xfId="0" applyFont="1"/>
    <xf numFmtId="164" fontId="4" fillId="0" borderId="0" xfId="0" applyNumberFormat="1" applyFont="1"/>
    <xf numFmtId="0" fontId="3" fillId="2" borderId="0" xfId="0" applyFont="1" applyFill="1"/>
    <xf numFmtId="0" fontId="6" fillId="3" borderId="0" xfId="0" applyFont="1" applyFill="1" applyAlignment="1">
      <alignment horizontal="center"/>
    </xf>
    <xf numFmtId="11" fontId="6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ED91EF-73A8-724A-88FB-A8BEDFF1787D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25FE9CC-ECB3-BF4A-8D84-85FA7B167614}" mc:Ignorable="x14ac xr xr2 xr3">
  <x:dimension ref="B2:H196"/>
  <x:sheetViews>
    <x:sheetView tabSelected="1" workbookViewId="0">
      <x:selection activeCell="H19" sqref="H19"/>
    </x:sheetView>
  </x:sheetViews>
  <x:sheetFormatPr baseColWidth="10" defaultRowHeight="16" x14ac:dyDescent="0.2"/>
  <x:cols>
    <x:col min="2" max="2" width="45" bestFit="1" customWidth="1"/>
    <x:col min="3" max="3" width="10.1640625" bestFit="1" customWidth="1"/>
    <x:col min="4" max="5" width="9.5" bestFit="1" customWidth="1"/>
    <x:col min="6" max="7" width="9.1640625" bestFit="1" customWidth="1"/>
    <x:col min="8" max="8" width="8.6640625" bestFit="1" customWidth="1"/>
  </x:cols>
  <x:sheetData>
    <x:row r="2" spans="2:3" ht="19" x14ac:dyDescent="0.25">
      <x:c r="B2" s="1" t="s">
        <x:v>2</x:v>
      </x:c>
    </x:row>
    <x:row r="3" spans="2:3" x14ac:dyDescent="0.2">
      <x:c r="B3" s="2"/>
    </x:row>
    <x:row r="4" spans="2:3" x14ac:dyDescent="0.2">
      <x:c r="B4" s="5" t="s">
        <x:v>0</x:v>
      </x:c>
      <x:c r="C4" s="5"/>
    </x:row>
    <x:row r="5" spans="2:3" x14ac:dyDescent="0.2">
      <x:c r="B5" s="3" t="s">
        <x:v>3</x:v>
      </x:c>
      <x:c r="C5" s="4">
        <x:v>0</x:v>
      </x:c>
    </x:row>
    <x:row r="6" spans="2:3" x14ac:dyDescent="0.2">
      <x:c r="B6" s="3" t="s">
        <x:v>4</x:v>
      </x:c>
      <x:c r="C6" s="4">
        <x:v>0.01</x:v>
      </x:c>
    </x:row>
    <x:row r="7" spans="2:3" x14ac:dyDescent="0.2">
      <x:c r="B7" s="3" t="s">
        <x:v>5</x:v>
      </x:c>
      <x:c r="C7" s="4">
        <x:v>0.05</x:v>
      </x:c>
    </x:row>
    <x:row r="8" spans="2:3" x14ac:dyDescent="0.2">
      <x:c r="B8" s="3" t="s">
        <x:v>6</x:v>
      </x:c>
      <x:c r="C8" s="4">
        <x:v>0.08</x:v>
      </x:c>
    </x:row>
    <x:row r="9" spans="2:3" x14ac:dyDescent="0.2">
      <x:c r="B9" s="3" t="s">
        <x:v>7</x:v>
      </x:c>
      <x:c r="C9" s="4">
        <x:v>0.1</x:v>
      </x:c>
    </x:row>
    <x:row r="10" spans="2:3" x14ac:dyDescent="0.2">
      <x:c r="B10" s="3" t="s">
        <x:v>8</x:v>
      </x:c>
      <x:c r="C10" s="4">
        <x:v>0.15</x:v>
      </x:c>
    </x:row>
    <x:row r="11" spans="2:3" x14ac:dyDescent="0.2">
      <x:c r="B11" s="3" t="s">
        <x:v>9</x:v>
      </x:c>
      <x:c r="C11" s="4">
        <x:v>1</x:v>
      </x:c>
    </x:row>
    <x:row r="12" spans="2:3" x14ac:dyDescent="0.2">
      <x:c r="B12" s="3" t="s">
        <x:v>10</x:v>
      </x:c>
      <x:c r="C12" s="4">
        <x:v>6</x:v>
      </x:c>
    </x:row>
    <x:row r="13" spans="2:3" x14ac:dyDescent="0.2">
      <x:c r="B13" s="3" t="s">
        <x:v>11</x:v>
      </x:c>
      <x:c r="C13" s="4">
        <x:v>12</x:v>
      </x:c>
    </x:row>
    <x:row r="14" spans="2:3" x14ac:dyDescent="0.2">
      <x:c r="B14" s="3" t="s">
        <x:v>12</x:v>
      </x:c>
      <x:c r="C14" s="4">
        <x:v>24</x:v>
      </x:c>
    </x:row>
    <x:row r="15" spans="2:3" x14ac:dyDescent="0.2">
      <x:c r="B15" s="3" t="s">
        <x:v>13</x:v>
      </x:c>
      <x:c r="C15" s="4">
        <x:v>60</x:v>
      </x:c>
    </x:row>
    <x:row r="16" spans="2:3" x14ac:dyDescent="0.2">
      <x:c r="B16" s="3" t="s">
        <x:v>14</x:v>
      </x:c>
      <x:c r="C16" s="4">
        <x:v>360</x:v>
      </x:c>
    </x:row>
    <x:row r="17" spans="2:3" x14ac:dyDescent="0.2">
      <x:c r="B17" s="3" t="s">
        <x:v>15</x:v>
      </x:c>
      <x:c r="C17" s="4">
        <x:v>-1000</x:v>
      </x:c>
    </x:row>
    <x:row r="18" spans="2:3" x14ac:dyDescent="0.2">
      <x:c r="B18" s="3" t="s">
        <x:v>16</x:v>
      </x:c>
      <x:c r="C18" s="4">
        <x:v>-10000</x:v>
      </x:c>
    </x:row>
    <x:row r="19" spans="2:3" x14ac:dyDescent="0.2">
      <x:c r="B19" s="3" t="s">
        <x:v>17</x:v>
      </x:c>
      <x:c r="C19" s="4">
        <x:v>-100000</x:v>
      </x:c>
    </x:row>
    <x:row r="20" spans="2:3" x14ac:dyDescent="0.2">
      <x:c r="B20" s="3" t="s">
        <x:v>18</x:v>
      </x:c>
      <x:c r="C20" s="4">
        <x:v>0</x:v>
      </x:c>
    </x:row>
    <x:row r="21" spans="2:3" x14ac:dyDescent="0.2">
      <x:c r="B21" s="3" t="s">
        <x:v>19</x:v>
      </x:c>
      <x:c r="C21" s="4">
        <x:v>50000</x:v>
      </x:c>
    </x:row>
    <x:row r="22" spans="2:3" x14ac:dyDescent="0.2">
      <x:c r="B22" s="3" t="s">
        <x:v>20</x:v>
      </x:c>
      <x:c r="C22" s="4">
        <x:v>-100</x:v>
      </x:c>
    </x:row>
    <x:row r="23" spans="2:3" x14ac:dyDescent="0.2">
      <x:c r="B23" s="3" t="s">
        <x:v>21</x:v>
      </x:c>
      <x:c r="C23" s="4">
        <x:v>-500</x:v>
      </x:c>
    </x:row>
    <x:row r="24" spans="2:3" x14ac:dyDescent="0.2">
      <x:c r="B24" s="3" t="s">
        <x:v>22</x:v>
      </x:c>
      <x:c r="C24" s="4">
        <x:v>-1000</x:v>
      </x:c>
    </x:row>
    <x:row r="25" spans="2:3" x14ac:dyDescent="0.2">
      <x:c r="B25" s="3" t="s">
        <x:v>23</x:v>
      </x:c>
      <x:c r="C25" s="4">
        <x:v>0</x:v>
      </x:c>
    </x:row>
    <x:row r="26" spans="2:3" x14ac:dyDescent="0.2">
      <x:c r="B26" s="3" t="s">
        <x:v>24</x:v>
      </x:c>
      <x:c r="C26" s="4">
        <x:v>200</x:v>
      </x:c>
    </x:row>
    <x:row r="27" spans="2:3" x14ac:dyDescent="0.2">
      <x:c r="B27" s="3" t="s">
        <x:v>25</x:v>
      </x:c>
      <x:c r="C27" s="4">
        <x:v>0</x:v>
      </x:c>
    </x:row>
    <x:row r="28" spans="2:3" x14ac:dyDescent="0.2">
      <x:c r="B28" s="3" t="s">
        <x:v>26</x:v>
      </x:c>
      <x:c r="C28" s="4">
        <x:v>1000</x:v>
      </x:c>
    </x:row>
    <x:row r="29" spans="2:3" x14ac:dyDescent="0.2">
      <x:c r="B29" s="3" t="s">
        <x:v>27</x:v>
      </x:c>
      <x:c r="C29" s="4">
        <x:v>10000</x:v>
      </x:c>
    </x:row>
    <x:row r="30" spans="2:3" x14ac:dyDescent="0.2">
      <x:c r="B30" s="3" t="s">
        <x:v>28</x:v>
      </x:c>
      <x:c r="C30" s="4">
        <x:v>50000</x:v>
      </x:c>
    </x:row>
    <x:row r="31" spans="2:3" x14ac:dyDescent="0.2">
      <x:c r="B31" s="3" t="s">
        <x:v>29</x:v>
      </x:c>
      <x:c r="C31" s="4">
        <x:v>0</x:v>
      </x:c>
    </x:row>
    <x:row r="32" spans="2:3" x14ac:dyDescent="0.2">
      <x:c r="B32" s="3" t="s">
        <x:v>30</x:v>
      </x:c>
      <x:c r="C32" s="4">
        <x:v>1</x:v>
      </x:c>
    </x:row>
    <x:row r="33" spans="2:3" x14ac:dyDescent="0.2">
      <x:c r="B33" s="3" t="s">
        <x:v>31</x:v>
      </x:c>
      <x:c r="C33" s="4">
        <x:v>10000</x:v>
      </x:c>
    </x:row>
    <x:row r="34" spans="2:3" x14ac:dyDescent="0.2">
      <x:c r="B34" s="3" t="s">
        <x:v>32</x:v>
      </x:c>
      <x:c r="C34" s="4">
        <x:v>50000</x:v>
      </x:c>
    </x:row>
    <x:row r="35" spans="2:3" x14ac:dyDescent="0.2">
      <x:c r="B35" s="3" t="s">
        <x:v>33</x:v>
      </x:c>
      <x:c r="C35" s="4">
        <x:v>1000</x:v>
      </x:c>
    </x:row>
    <x:row r="36" spans="2:3" x14ac:dyDescent="0.2">
      <x:c r="B36" s="3" t="s">
        <x:v>34</x:v>
      </x:c>
      <x:c r="C36" s="4">
        <x:v>5000</x:v>
      </x:c>
    </x:row>
    <x:row r="37" spans="2:3" x14ac:dyDescent="0.2">
      <x:c r="B37" s="3" t="s">
        <x:v>35</x:v>
      </x:c>
      <x:c r="C37" s="4">
        <x:v>5</x:v>
      </x:c>
    </x:row>
    <x:row r="38" spans="2:3" x14ac:dyDescent="0.2">
      <x:c r="B38" s="3" t="s">
        <x:v>36</x:v>
      </x:c>
      <x:c r="C38" s="4">
        <x:v>10</x:v>
      </x:c>
    </x:row>
    <x:row r="39" spans="2:3" x14ac:dyDescent="0.2">
      <x:c r="B39" s="3" t="s">
        <x:v>37</x:v>
      </x:c>
      <x:c r="C39" s="4">
        <x:v>1</x:v>
      </x:c>
    </x:row>
    <x:row r="40" spans="2:3" x14ac:dyDescent="0.2">
      <x:c r="B40" s="3" t="s">
        <x:v>38</x:v>
      </x:c>
      <x:c r="C40" s="4">
        <x:v>2</x:v>
      </x:c>
    </x:row>
    <x:row r="41" spans="2:3" x14ac:dyDescent="0.2">
      <x:c r="B41" s="3" t="s">
        <x:v>39</x:v>
      </x:c>
      <x:c r="C41" s="4">
        <x:v>3</x:v>
      </x:c>
    </x:row>
    <x:row r="42" spans="2:3" x14ac:dyDescent="0.2">
      <x:c r="B42" s="3" t="s">
        <x:v>40</x:v>
      </x:c>
      <x:c r="C42" s="10">
        <x:v>45658</x:v>
      </x:c>
    </x:row>
    <x:row r="43" spans="2:3" x14ac:dyDescent="0.2">
      <x:c r="B43" s="3" t="s">
        <x:v>41</x:v>
      </x:c>
      <x:c r="C43" s="10">
        <x:v>45839</x:v>
      </x:c>
    </x:row>
    <x:row r="44" spans="2:3" x14ac:dyDescent="0.2">
      <x:c r="B44" s="3" t="s">
        <x:v>42</x:v>
      </x:c>
      <x:c r="C44" s="10">
        <x:v>46023</x:v>
      </x:c>
    </x:row>
    <x:row r="45" spans="2:3" x14ac:dyDescent="0.2">
      <x:c r="B45" s="3" t="s">
        <x:v>43</x:v>
      </x:c>
      <x:c r="C45" s="10">
        <x:v>46204</x:v>
      </x:c>
    </x:row>
    <x:row r="46" spans="2:3" x14ac:dyDescent="0.2">
      <x:c r="B46" s="3" t="s">
        <x:v>44</x:v>
      </x:c>
      <x:c r="C46" s="10">
        <x:v>46388</x:v>
      </x:c>
    </x:row>
    <x:row r="47" spans="2:3" x14ac:dyDescent="0.2">
      <x:c r="B47" s="3" t="s">
        <x:v>45</x:v>
      </x:c>
      <x:c r="C47" s="4">
        <x:v>-10000</x:v>
      </x:c>
    </x:row>
    <x:row r="48" spans="2:3" x14ac:dyDescent="0.2">
      <x:c r="B48" s="3" t="s">
        <x:v>46</x:v>
      </x:c>
      <x:c r="C48" s="4">
        <x:v>3000</x:v>
      </x:c>
    </x:row>
    <x:row r="49" spans="2:3" x14ac:dyDescent="0.2">
      <x:c r="B49" s="3" t="s">
        <x:v>47</x:v>
      </x:c>
      <x:c r="C49" s="4">
        <x:v>4000</x:v>
      </x:c>
    </x:row>
    <x:row r="50" spans="2:3" x14ac:dyDescent="0.2">
      <x:c r="B50" s="3" t="s">
        <x:v>48</x:v>
      </x:c>
      <x:c r="C50" s="4">
        <x:v>5000</x:v>
      </x:c>
    </x:row>
    <x:row r="51" spans="2:3" x14ac:dyDescent="0.2">
      <x:c r="B51" s="3" t="s">
        <x:v>49</x:v>
      </x:c>
      <x:c r="C51" s="4">
        <x:v>2000</x:v>
      </x:c>
    </x:row>
    <x:row r="52" spans="2:3" x14ac:dyDescent="0.2">
      <x:c r="B52" s="3" t="s">
        <x:v>50</x:v>
      </x:c>
      <x:c r="C52" s="4">
        <x:v>-50000</x:v>
      </x:c>
    </x:row>
    <x:row r="53" spans="2:3" x14ac:dyDescent="0.2">
      <x:c r="B53" s="3" t="s">
        <x:v>51</x:v>
      </x:c>
      <x:c r="C53" s="4">
        <x:v>15000</x:v>
      </x:c>
    </x:row>
    <x:row r="54" spans="2:3" x14ac:dyDescent="0.2">
      <x:c r="B54" s="3" t="s">
        <x:v>52</x:v>
      </x:c>
      <x:c r="C54" s="4">
        <x:v>15000</x:v>
      </x:c>
    </x:row>
    <x:row r="55" spans="2:3" x14ac:dyDescent="0.2">
      <x:c r="B55" s="3" t="s">
        <x:v>53</x:v>
      </x:c>
      <x:c r="C55" s="4">
        <x:v>15000</x:v>
      </x:c>
    </x:row>
    <x:row r="56" spans="2:3" x14ac:dyDescent="0.2">
      <x:c r="B56" s="3" t="s">
        <x:v>54</x:v>
      </x:c>
      <x:c r="C56" s="4">
        <x:v>15000</x:v>
      </x:c>
    </x:row>
    <x:row r="57" spans="2:3" x14ac:dyDescent="0.2">
      <x:c r="B57" s="3" t="s">
        <x:v>55</x:v>
      </x:c>
      <x:c r="C57" s="4">
        <x:v>-1000</x:v>
      </x:c>
    </x:row>
    <x:row r="58" spans="2:3" x14ac:dyDescent="0.2">
      <x:c r="B58" s="3" t="s">
        <x:v>56</x:v>
      </x:c>
      <x:c r="C58" s="4">
        <x:v>500</x:v>
      </x:c>
    </x:row>
    <x:row r="59" spans="2:3" x14ac:dyDescent="0.2">
      <x:c r="B59" s="3" t="s">
        <x:v>57</x:v>
      </x:c>
      <x:c r="C59" s="4">
        <x:v>400</x:v>
      </x:c>
    </x:row>
    <x:row r="60" spans="2:3" x14ac:dyDescent="0.2">
      <x:c r="B60" s="3" t="s">
        <x:v>58</x:v>
      </x:c>
      <x:c r="C60" s="4">
        <x:v>300</x:v>
      </x:c>
    </x:row>
    <x:row r="61" spans="2:3" x14ac:dyDescent="0.2">
      <x:c r="B61" s="3" t="s">
        <x:v>59</x:v>
      </x:c>
      <x:c r="C61" s="4">
        <x:v>100</x:v>
      </x:c>
    </x:row>
    <x:row r="63" spans="2:3" x14ac:dyDescent="0.2">
      <x:c r="B63" s="2"/>
    </x:row>
    <x:row r="64" spans="2:3" x14ac:dyDescent="0.2">
      <x:c r="B64" s="11" t="s">
        <x:v>60</x:v>
      </x:c>
    </x:row>
    <x:row r="65" spans="2:8" x14ac:dyDescent="0.2">
      <x:c r="B65" s="14" t="s">
        <x:v>1</x:v>
      </x:c>
      <x:c r="C65" s="13">
        <x:f>$C$11</x:f>
      </x:c>
      <x:c r="D65" s="13">
        <x:f>$C$12</x:f>
      </x:c>
      <x:c r="E65" s="13">
        <x:f>$C$13</x:f>
      </x:c>
      <x:c r="F65" s="13">
        <x:f>$C$14</x:f>
      </x:c>
      <x:c r="G65" s="13">
        <x:f>$C$15</x:f>
      </x:c>
      <x:c r="H65" s="13">
        <x:f>$C$16</x:f>
      </x:c>
    </x:row>
    <x:row r="66" spans="2:8" x14ac:dyDescent="0.2">
      <x:c r="B66" s="8">
        <x:f>$C$5</x:f>
      </x:c>
      <x:c r="C66" s="7">
        <x:f>PMT($C$5,$C$11,$C$18,0,0)</x:f>
      </x:c>
      <x:c r="D66" s="7">
        <x:f>PMT($C$5,$C$12,$C$18,0,0)</x:f>
      </x:c>
      <x:c r="E66" s="7">
        <x:f>PMT($C$5,$C$13,$C$18,0,0)</x:f>
      </x:c>
      <x:c r="F66" s="7">
        <x:f>PMT($C$5,$C$14,$C$18,0,0)</x:f>
      </x:c>
      <x:c r="G66" s="7">
        <x:f>PMT($C$5,$C$15,$C$18,0,0)</x:f>
      </x:c>
      <x:c r="H66" s="7">
        <x:f>PMT($C$5,$C$16,$C$18,0,0)</x:f>
      </x:c>
    </x:row>
    <x:row r="67" spans="2:8" x14ac:dyDescent="0.2">
      <x:c r="B67" s="8">
        <x:f>$C$6</x:f>
      </x:c>
      <x:c r="C67" s="7">
        <x:f>PMT($C$6,$C$11,$C$18,0,0)</x:f>
      </x:c>
      <x:c r="D67" s="7">
        <x:f>PMT($C$6,$C$12,$C$18,0,0)</x:f>
      </x:c>
      <x:c r="E67" s="7">
        <x:f>PMT($C$6,$C$13,$C$18,0,0)</x:f>
      </x:c>
      <x:c r="F67" s="7">
        <x:f>PMT($C$6,$C$14,$C$18,0,0)</x:f>
      </x:c>
      <x:c r="G67" s="7">
        <x:f>PMT($C$6,$C$15,$C$18,0,0)</x:f>
      </x:c>
      <x:c r="H67" s="7">
        <x:f>PMT($C$6,$C$16,$C$18,0,0)</x:f>
      </x:c>
    </x:row>
    <x:row r="68" spans="2:8" x14ac:dyDescent="0.2">
      <x:c r="B68" s="8">
        <x:f>$C$7</x:f>
      </x:c>
      <x:c r="C68" s="7">
        <x:f>PMT($C$7,$C$11,$C$18,0,0)</x:f>
      </x:c>
      <x:c r="D68" s="7">
        <x:f>PMT($C$7,$C$12,$C$18,0,0)</x:f>
      </x:c>
      <x:c r="E68" s="7">
        <x:f>PMT($C$7,$C$13,$C$18,0,0)</x:f>
      </x:c>
      <x:c r="F68" s="7">
        <x:f>PMT($C$7,$C$14,$C$18,0,0)</x:f>
      </x:c>
      <x:c r="G68" s="7">
        <x:f>PMT($C$7,$C$15,$C$18,0,0)</x:f>
      </x:c>
      <x:c r="H68" s="7">
        <x:f>PMT($C$7,$C$16,$C$18,0,0)</x:f>
      </x:c>
    </x:row>
    <x:row r="69" spans="2:8" x14ac:dyDescent="0.2">
      <x:c r="B69" s="8">
        <x:f>$C$8</x:f>
      </x:c>
      <x:c r="C69" s="7">
        <x:f>PMT($C$8,$C$11,$C$18,0,0)</x:f>
      </x:c>
      <x:c r="D69" s="7">
        <x:f>PMT($C$8,$C$12,$C$18,0,0)</x:f>
      </x:c>
      <x:c r="E69" s="7">
        <x:f>PMT($C$8,$C$13,$C$18,0,0)</x:f>
      </x:c>
      <x:c r="F69" s="7">
        <x:f>PMT($C$8,$C$14,$C$18,0,0)</x:f>
      </x:c>
      <x:c r="G69" s="7">
        <x:f>PMT($C$8,$C$15,$C$18,0,0)</x:f>
      </x:c>
      <x:c r="H69" s="7">
        <x:f>PMT($C$8,$C$16,$C$18,0,0)</x:f>
      </x:c>
    </x:row>
    <x:row r="70" spans="2:8" x14ac:dyDescent="0.2">
      <x:c r="B70" s="8">
        <x:f>$C$9</x:f>
      </x:c>
      <x:c r="C70" s="7">
        <x:f>PMT($C$9,$C$11,$C$18,0,0)</x:f>
      </x:c>
      <x:c r="D70" s="7">
        <x:f>PMT($C$9,$C$12,$C$18,0,0)</x:f>
      </x:c>
      <x:c r="E70" s="7">
        <x:f>PMT($C$9,$C$13,$C$18,0,0)</x:f>
      </x:c>
      <x:c r="F70" s="7">
        <x:f>PMT($C$9,$C$14,$C$18,0,0)</x:f>
      </x:c>
      <x:c r="G70" s="7">
        <x:f>PMT($C$9,$C$15,$C$18,0,0)</x:f>
      </x:c>
      <x:c r="H70" s="7">
        <x:f>PMT($C$9,$C$16,$C$18,0,0)</x:f>
      </x:c>
    </x:row>
    <x:row r="71" spans="2:8" x14ac:dyDescent="0.2">
      <x:c r="B71" s="8">
        <x:f>$C$10</x:f>
      </x:c>
      <x:c r="C71" s="7">
        <x:f>PMT($C$10,$C$11,$C$18,0,0)</x:f>
      </x:c>
      <x:c r="D71" s="7">
        <x:f>PMT($C$10,$C$12,$C$18,0,0)</x:f>
      </x:c>
      <x:c r="E71" s="7">
        <x:f>PMT($C$10,$C$13,$C$18,0,0)</x:f>
      </x:c>
      <x:c r="F71" s="7">
        <x:f>PMT($C$10,$C$14,$C$18,0,0)</x:f>
      </x:c>
      <x:c r="G71" s="7">
        <x:f>PMT($C$10,$C$15,$C$18,0,0)</x:f>
      </x:c>
      <x:c r="H71" s="7">
        <x:f>PMT($C$10,$C$16,$C$18,0,0)</x:f>
      </x:c>
    </x:row>
    <x:row r="73" spans="2:8" x14ac:dyDescent="0.2">
      <x:c r="B73" s="9" t="s">
        <x:v>61</x:v>
      </x:c>
    </x:row>
    <x:row r="74" spans="2:8" x14ac:dyDescent="0.2">
      <x:c r="B74" s="14" t="s">
        <x:v>1</x:v>
      </x:c>
      <x:c r="C74" s="13">
        <x:f>$C$11</x:f>
      </x:c>
      <x:c r="D74" s="13">
        <x:f>$C$12</x:f>
      </x:c>
      <x:c r="E74" s="13">
        <x:f>$C$13</x:f>
      </x:c>
      <x:c r="F74" s="13">
        <x:f>$C$14</x:f>
      </x:c>
      <x:c r="G74" s="13">
        <x:f>$C$15</x:f>
      </x:c>
      <x:c r="H74" s="13">
        <x:f>$C$16</x:f>
      </x:c>
    </x:row>
    <x:row r="75" spans="2:8" x14ac:dyDescent="0.2">
      <x:c r="B75" s="8">
        <x:f>$C$5</x:f>
      </x:c>
      <x:c r="C75" s="7">
        <x:f>PMT($C$5,$C$11,$C$18,0,1)</x:f>
      </x:c>
      <x:c r="D75" s="7">
        <x:f>PMT($C$5,$C$12,$C$18,0,1)</x:f>
      </x:c>
      <x:c r="E75" s="7">
        <x:f>PMT($C$5,$C$13,$C$18,0,1)</x:f>
      </x:c>
      <x:c r="F75" s="7">
        <x:f>PMT($C$5,$C$14,$C$18,0,1)</x:f>
      </x:c>
      <x:c r="G75" s="7">
        <x:f>PMT($C$5,$C$15,$C$18,0,1)</x:f>
      </x:c>
      <x:c r="H75" s="7">
        <x:f>PMT($C$5,$C$16,$C$18,0,1)</x:f>
      </x:c>
    </x:row>
    <x:row r="76" spans="2:8" x14ac:dyDescent="0.2">
      <x:c r="B76" s="8">
        <x:f>$C$6</x:f>
      </x:c>
      <x:c r="C76" s="7">
        <x:f>PMT($C$6,$C$11,$C$18,0,1)</x:f>
      </x:c>
      <x:c r="D76" s="7">
        <x:f>PMT($C$6,$C$12,$C$18,0,1)</x:f>
      </x:c>
      <x:c r="E76" s="7">
        <x:f>PMT($C$6,$C$13,$C$18,0,1)</x:f>
      </x:c>
      <x:c r="F76" s="7">
        <x:f>PMT($C$6,$C$14,$C$18,0,1)</x:f>
      </x:c>
      <x:c r="G76" s="7">
        <x:f>PMT($C$6,$C$15,$C$18,0,1)</x:f>
      </x:c>
      <x:c r="H76" s="7">
        <x:f>PMT($C$6,$C$16,$C$18,0,1)</x:f>
      </x:c>
    </x:row>
    <x:row r="77" spans="2:8" x14ac:dyDescent="0.2">
      <x:c r="B77" s="8">
        <x:f>$C$7</x:f>
      </x:c>
      <x:c r="C77" s="7">
        <x:f>PMT($C$7,$C$11,$C$18,0,1)</x:f>
      </x:c>
      <x:c r="D77" s="7">
        <x:f>PMT($C$7,$C$12,$C$18,0,1)</x:f>
      </x:c>
      <x:c r="E77" s="7">
        <x:f>PMT($C$7,$C$13,$C$18,0,1)</x:f>
      </x:c>
      <x:c r="F77" s="7">
        <x:f>PMT($C$7,$C$14,$C$18,0,1)</x:f>
      </x:c>
      <x:c r="G77" s="7">
        <x:f>PMT($C$7,$C$15,$C$18,0,1)</x:f>
      </x:c>
      <x:c r="H77" s="7">
        <x:f>PMT($C$7,$C$16,$C$18,0,1)</x:f>
      </x:c>
    </x:row>
    <x:row r="78" spans="2:8" x14ac:dyDescent="0.2">
      <x:c r="B78" s="8">
        <x:f>$C$8</x:f>
      </x:c>
      <x:c r="C78" s="7">
        <x:f>PMT($C$8,$C$11,$C$18,0,1)</x:f>
      </x:c>
      <x:c r="D78" s="7">
        <x:f>PMT($C$8,$C$12,$C$18,0,1)</x:f>
      </x:c>
      <x:c r="E78" s="7">
        <x:f>PMT($C$8,$C$13,$C$18,0,1)</x:f>
      </x:c>
      <x:c r="F78" s="7">
        <x:f>PMT($C$8,$C$14,$C$18,0,1)</x:f>
      </x:c>
      <x:c r="G78" s="7">
        <x:f>PMT($C$8,$C$15,$C$18,0,1)</x:f>
      </x:c>
      <x:c r="H78" s="7">
        <x:f>PMT($C$8,$C$16,$C$18,0,1)</x:f>
      </x:c>
    </x:row>
    <x:row r="79" spans="2:8" x14ac:dyDescent="0.2">
      <x:c r="B79" s="8">
        <x:f>$C$9</x:f>
      </x:c>
      <x:c r="C79" s="7">
        <x:f>PMT($C$9,$C$11,$C$18,0,1)</x:f>
      </x:c>
      <x:c r="D79" s="7">
        <x:f>PMT($C$9,$C$12,$C$18,0,1)</x:f>
      </x:c>
      <x:c r="E79" s="7">
        <x:f>PMT($C$9,$C$13,$C$18,0,1)</x:f>
      </x:c>
      <x:c r="F79" s="7">
        <x:f>PMT($C$9,$C$14,$C$18,0,1)</x:f>
      </x:c>
      <x:c r="G79" s="7">
        <x:f>PMT($C$9,$C$15,$C$18,0,1)</x:f>
      </x:c>
      <x:c r="H79" s="7">
        <x:f>PMT($C$9,$C$16,$C$18,0,1)</x:f>
      </x:c>
    </x:row>
    <x:row r="80" spans="2:8" x14ac:dyDescent="0.2">
      <x:c r="B80" s="8">
        <x:f>$C$10</x:f>
      </x:c>
      <x:c r="C80" s="7">
        <x:f>PMT($C$10,$C$11,$C$18,0,1)</x:f>
      </x:c>
      <x:c r="D80" s="7">
        <x:f>PMT($C$10,$C$12,$C$18,0,1)</x:f>
      </x:c>
      <x:c r="E80" s="7">
        <x:f>PMT($C$10,$C$13,$C$18,0,1)</x:f>
      </x:c>
      <x:c r="F80" s="7">
        <x:f>PMT($C$10,$C$14,$C$18,0,1)</x:f>
      </x:c>
      <x:c r="G80" s="7">
        <x:f>PMT($C$10,$C$15,$C$18,0,1)</x:f>
      </x:c>
      <x:c r="H80" s="7">
        <x:f>PMT($C$10,$C$16,$C$18,0,1)</x:f>
      </x:c>
    </x:row>
    <x:row r="82" spans="2:8" x14ac:dyDescent="0.2">
      <x:c r="B82" s="5" t="s">
        <x:v>62</x:v>
      </x:c>
    </x:row>
    <x:row r="83" spans="2:8" x14ac:dyDescent="0.2">
      <x:c r="B83" s="14" t="s">
        <x:v>1</x:v>
      </x:c>
      <x:c r="C83" s="13">
        <x:f>$C$11</x:f>
      </x:c>
      <x:c r="D83" s="13">
        <x:f>$C$12</x:f>
      </x:c>
      <x:c r="E83" s="13">
        <x:f>$C$13</x:f>
      </x:c>
      <x:c r="F83" s="13">
        <x:f>$C$14</x:f>
      </x:c>
      <x:c r="G83" s="13">
        <x:f>$C$15</x:f>
      </x:c>
      <x:c r="H83" s="13">
        <x:f>$C$16</x:f>
      </x:c>
    </x:row>
    <x:row r="84" spans="2:8" x14ac:dyDescent="0.2">
      <x:c r="B84" s="8">
        <x:f>$C$5</x:f>
      </x:c>
      <x:c r="C84" s="7">
        <x:f>FV($C$5,$C$11,$C$22,0,0)</x:f>
      </x:c>
      <x:c r="D84" s="7">
        <x:f>FV($C$5,$C$12,$C$22,0,0)</x:f>
      </x:c>
      <x:c r="E84" s="7">
        <x:f>FV($C$5,$C$13,$C$22,0,0)</x:f>
      </x:c>
      <x:c r="F84" s="7">
        <x:f>FV($C$5,$C$14,$C$22,0,0)</x:f>
      </x:c>
      <x:c r="G84" s="7">
        <x:f>FV($C$5,$C$15,$C$22,0,0)</x:f>
      </x:c>
      <x:c r="H84" s="7">
        <x:f>FV($C$5,$C$16,$C$22,0,0)</x:f>
      </x:c>
    </x:row>
    <x:row r="85" spans="2:8" x14ac:dyDescent="0.2">
      <x:c r="B85" s="8">
        <x:f>$C$6</x:f>
      </x:c>
      <x:c r="C85" s="7">
        <x:f>FV($C$6,$C$11,$C$22,0,0)</x:f>
      </x:c>
      <x:c r="D85" s="7">
        <x:f>FV($C$6,$C$12,$C$22,0,0)</x:f>
      </x:c>
      <x:c r="E85" s="7">
        <x:f>FV($C$6,$C$13,$C$22,0,0)</x:f>
      </x:c>
      <x:c r="F85" s="7">
        <x:f>FV($C$6,$C$14,$C$22,0,0)</x:f>
      </x:c>
      <x:c r="G85" s="7">
        <x:f>FV($C$6,$C$15,$C$22,0,0)</x:f>
      </x:c>
      <x:c r="H85" s="7">
        <x:f>FV($C$6,$C$16,$C$22,0,0)</x:f>
      </x:c>
    </x:row>
    <x:row r="86" spans="2:8" x14ac:dyDescent="0.2">
      <x:c r="B86" s="8">
        <x:f>$C$7</x:f>
      </x:c>
      <x:c r="C86" s="7">
        <x:f>FV($C$7,$C$11,$C$22,0,0)</x:f>
      </x:c>
      <x:c r="D86" s="7">
        <x:f>FV($C$7,$C$12,$C$22,0,0)</x:f>
      </x:c>
      <x:c r="E86" s="7">
        <x:f>FV($C$7,$C$13,$C$22,0,0)</x:f>
      </x:c>
      <x:c r="F86" s="7">
        <x:f>FV($C$7,$C$14,$C$22,0,0)</x:f>
      </x:c>
      <x:c r="G86" s="7">
        <x:f>FV($C$7,$C$15,$C$22,0,0)</x:f>
      </x:c>
      <x:c r="H86" s="7">
        <x:f>FV($C$7,$C$16,$C$22,0,0)</x:f>
      </x:c>
    </x:row>
    <x:row r="87" spans="2:8" x14ac:dyDescent="0.2">
      <x:c r="B87" s="8">
        <x:f>$C$8</x:f>
      </x:c>
      <x:c r="C87" s="7">
        <x:f>FV($C$8,$C$11,$C$22,0,0)</x:f>
      </x:c>
      <x:c r="D87" s="7">
        <x:f>FV($C$8,$C$12,$C$22,0,0)</x:f>
      </x:c>
      <x:c r="E87" s="7">
        <x:f>FV($C$8,$C$13,$C$22,0,0)</x:f>
      </x:c>
      <x:c r="F87" s="7">
        <x:f>FV($C$8,$C$14,$C$22,0,0)</x:f>
      </x:c>
      <x:c r="G87" s="7">
        <x:f>FV($C$8,$C$15,$C$22,0,0)</x:f>
      </x:c>
      <x:c r="H87" s="7">
        <x:f>FV($C$8,$C$16,$C$22,0,0)</x:f>
      </x:c>
    </x:row>
    <x:row r="88" spans="2:8" x14ac:dyDescent="0.2">
      <x:c r="B88" s="8">
        <x:f>$C$9</x:f>
      </x:c>
      <x:c r="C88" s="7">
        <x:f>FV($C$9,$C$11,$C$22,0,0)</x:f>
      </x:c>
      <x:c r="D88" s="7">
        <x:f>FV($C$9,$C$12,$C$22,0,0)</x:f>
      </x:c>
      <x:c r="E88" s="7">
        <x:f>FV($C$9,$C$13,$C$22,0,0)</x:f>
      </x:c>
      <x:c r="F88" s="7">
        <x:f>FV($C$9,$C$14,$C$22,0,0)</x:f>
      </x:c>
      <x:c r="G88" s="7">
        <x:f>FV($C$9,$C$15,$C$22,0,0)</x:f>
      </x:c>
      <x:c r="H88" s="7">
        <x:f>FV($C$9,$C$16,$C$22,0,0)</x:f>
      </x:c>
    </x:row>
    <x:row r="89" spans="2:8" x14ac:dyDescent="0.2">
      <x:c r="B89" s="8">
        <x:f>$C$10</x:f>
      </x:c>
      <x:c r="C89" s="7">
        <x:f>FV($C$10,$C$11,$C$22,0,0)</x:f>
      </x:c>
      <x:c r="D89" s="7">
        <x:f>FV($C$10,$C$12,$C$22,0,0)</x:f>
      </x:c>
      <x:c r="E89" s="7">
        <x:f>FV($C$10,$C$13,$C$22,0,0)</x:f>
      </x:c>
      <x:c r="F89" s="7">
        <x:f>FV($C$10,$C$14,$C$22,0,0)</x:f>
      </x:c>
      <x:c r="G89" s="7">
        <x:f>FV($C$10,$C$15,$C$22,0,0)</x:f>
      </x:c>
      <x:c r="H89" s="7">
        <x:f>FV($C$10,$C$16,$C$22,0,0)</x:f>
      </x:c>
    </x:row>
    <x:row r="91" spans="2:8" x14ac:dyDescent="0.2">
      <x:c r="B91" s="9" t="s">
        <x:v>63</x:v>
      </x:c>
    </x:row>
    <x:row r="92" spans="2:8" x14ac:dyDescent="0.2">
      <x:c r="B92" s="14" t="s">
        <x:v>1</x:v>
      </x:c>
      <x:c r="C92" s="13">
        <x:f>$C$11</x:f>
      </x:c>
      <x:c r="D92" s="13">
        <x:f>$C$12</x:f>
      </x:c>
      <x:c r="E92" s="13">
        <x:f>$C$13</x:f>
      </x:c>
      <x:c r="F92" s="13">
        <x:f>$C$14</x:f>
      </x:c>
      <x:c r="G92" s="13">
        <x:f>$C$15</x:f>
      </x:c>
      <x:c r="H92" s="13">
        <x:f>$C$16</x:f>
      </x:c>
    </x:row>
    <x:row r="93" spans="2:8" x14ac:dyDescent="0.2">
      <x:c r="B93" s="8">
        <x:f>$C$5</x:f>
      </x:c>
      <x:c r="C93" s="7">
        <x:f>FV($C$5,$C$11,$C$22,$C$18,1)</x:f>
      </x:c>
      <x:c r="D93" s="7">
        <x:f>FV($C$5,$C$12,$C$22,$C$18,1)</x:f>
      </x:c>
      <x:c r="E93" s="7">
        <x:f>FV($C$5,$C$13,$C$22,$C$18,1)</x:f>
      </x:c>
      <x:c r="F93" s="7">
        <x:f>FV($C$5,$C$14,$C$22,$C$18,1)</x:f>
      </x:c>
      <x:c r="G93" s="7">
        <x:f>FV($C$5,$C$15,$C$22,$C$18,1)</x:f>
      </x:c>
      <x:c r="H93" s="7">
        <x:f>FV($C$5,$C$16,$C$22,$C$18,1)</x:f>
      </x:c>
    </x:row>
    <x:row r="94" spans="2:8" x14ac:dyDescent="0.2">
      <x:c r="B94" s="8">
        <x:f>$C$6</x:f>
      </x:c>
      <x:c r="C94" s="7">
        <x:f>FV($C$6,$C$11,$C$22,$C$18,1)</x:f>
      </x:c>
      <x:c r="D94" s="7">
        <x:f>FV($C$6,$C$12,$C$22,$C$18,1)</x:f>
      </x:c>
      <x:c r="E94" s="7">
        <x:f>FV($C$6,$C$13,$C$22,$C$18,1)</x:f>
      </x:c>
      <x:c r="F94" s="7">
        <x:f>FV($C$6,$C$14,$C$22,$C$18,1)</x:f>
      </x:c>
      <x:c r="G94" s="7">
        <x:f>FV($C$6,$C$15,$C$22,$C$18,1)</x:f>
      </x:c>
      <x:c r="H94" s="7">
        <x:f>FV($C$6,$C$16,$C$22,$C$18,1)</x:f>
      </x:c>
    </x:row>
    <x:row r="95" spans="2:8" x14ac:dyDescent="0.2">
      <x:c r="B95" s="8">
        <x:f>$C$7</x:f>
      </x:c>
      <x:c r="C95" s="7">
        <x:f>FV($C$7,$C$11,$C$22,$C$18,1)</x:f>
      </x:c>
      <x:c r="D95" s="7">
        <x:f>FV($C$7,$C$12,$C$22,$C$18,1)</x:f>
      </x:c>
      <x:c r="E95" s="7">
        <x:f>FV($C$7,$C$13,$C$22,$C$18,1)</x:f>
      </x:c>
      <x:c r="F95" s="7">
        <x:f>FV($C$7,$C$14,$C$22,$C$18,1)</x:f>
      </x:c>
      <x:c r="G95" s="7">
        <x:f>FV($C$7,$C$15,$C$22,$C$18,1)</x:f>
      </x:c>
      <x:c r="H95" s="7">
        <x:f>FV($C$7,$C$16,$C$22,$C$18,1)</x:f>
      </x:c>
    </x:row>
    <x:row r="96" spans="2:8" x14ac:dyDescent="0.2">
      <x:c r="B96" s="8">
        <x:f>$C$8</x:f>
      </x:c>
      <x:c r="C96" s="7">
        <x:f>FV($C$8,$C$11,$C$22,$C$18,1)</x:f>
      </x:c>
      <x:c r="D96" s="7">
        <x:f>FV($C$8,$C$12,$C$22,$C$18,1)</x:f>
      </x:c>
      <x:c r="E96" s="7">
        <x:f>FV($C$8,$C$13,$C$22,$C$18,1)</x:f>
      </x:c>
      <x:c r="F96" s="7">
        <x:f>FV($C$8,$C$14,$C$22,$C$18,1)</x:f>
      </x:c>
      <x:c r="G96" s="7">
        <x:f>FV($C$8,$C$15,$C$22,$C$18,1)</x:f>
      </x:c>
      <x:c r="H96" s="7">
        <x:f>FV($C$8,$C$16,$C$22,$C$18,1)</x:f>
      </x:c>
    </x:row>
    <x:row r="97" spans="2:8" x14ac:dyDescent="0.2">
      <x:c r="B97" s="8">
        <x:f>$C$9</x:f>
      </x:c>
      <x:c r="C97" s="7">
        <x:f>FV($C$9,$C$11,$C$22,$C$18,1)</x:f>
      </x:c>
      <x:c r="D97" s="7">
        <x:f>FV($C$9,$C$12,$C$22,$C$18,1)</x:f>
      </x:c>
      <x:c r="E97" s="7">
        <x:f>FV($C$9,$C$13,$C$22,$C$18,1)</x:f>
      </x:c>
      <x:c r="F97" s="7">
        <x:f>FV($C$9,$C$14,$C$22,$C$18,1)</x:f>
      </x:c>
      <x:c r="G97" s="7">
        <x:f>FV($C$9,$C$15,$C$22,$C$18,1)</x:f>
      </x:c>
      <x:c r="H97" s="7">
        <x:f>FV($C$9,$C$16,$C$22,$C$18,1)</x:f>
      </x:c>
    </x:row>
    <x:row r="98" spans="2:8" x14ac:dyDescent="0.2">
      <x:c r="B98" s="8">
        <x:f>$C$10</x:f>
      </x:c>
      <x:c r="C98" s="7">
        <x:f>FV($C$10,$C$11,$C$22,$C$18,1)</x:f>
      </x:c>
      <x:c r="D98" s="7">
        <x:f>FV($C$10,$C$12,$C$22,$C$18,1)</x:f>
      </x:c>
      <x:c r="E98" s="7">
        <x:f>FV($C$10,$C$13,$C$22,$C$18,1)</x:f>
      </x:c>
      <x:c r="F98" s="7">
        <x:f>FV($C$10,$C$14,$C$22,$C$18,1)</x:f>
      </x:c>
      <x:c r="G98" s="7">
        <x:f>FV($C$10,$C$15,$C$22,$C$18,1)</x:f>
      </x:c>
      <x:c r="H98" s="7">
        <x:f>FV($C$10,$C$16,$C$22,$C$18,1)</x:f>
      </x:c>
    </x:row>
    <x:row r="101" spans="2:8" x14ac:dyDescent="0.2">
      <x:c r="B101" s="5" t="s">
        <x:v>64</x:v>
      </x:c>
    </x:row>
    <x:row r="102" spans="2:8" x14ac:dyDescent="0.2">
      <x:c r="B102" s="14" t="s">
        <x:v>1</x:v>
      </x:c>
      <x:c r="C102" s="13">
        <x:f>$C$11</x:f>
      </x:c>
      <x:c r="D102" s="13">
        <x:f>$C$12</x:f>
      </x:c>
      <x:c r="E102" s="13">
        <x:f>$C$13</x:f>
      </x:c>
      <x:c r="F102" s="13">
        <x:f>$C$14</x:f>
      </x:c>
      <x:c r="G102" s="13">
        <x:f>$C$15</x:f>
      </x:c>
      <x:c r="H102" s="13">
        <x:f>$C$16</x:f>
      </x:c>
    </x:row>
    <x:row r="103" spans="2:8" x14ac:dyDescent="0.2">
      <x:c r="B103" s="8">
        <x:f>$C$5</x:f>
      </x:c>
      <x:c r="C103" s="7">
        <x:f>PV($C$5,$C$11,$C$22,0,0)</x:f>
      </x:c>
      <x:c r="D103" s="7">
        <x:f>PV($C$5,$C$12,$C$22,0,0)</x:f>
      </x:c>
      <x:c r="E103" s="7">
        <x:f>PV($C$5,$C$13,$C$22,0,0)</x:f>
      </x:c>
      <x:c r="F103" s="7">
        <x:f>PV($C$5,$C$14,$C$22,0,0)</x:f>
      </x:c>
      <x:c r="G103" s="7">
        <x:f>PV($C$5,$C$15,$C$22,0,0)</x:f>
      </x:c>
      <x:c r="H103" s="7">
        <x:f>PV($C$5,$C$16,$C$22,0,0)</x:f>
      </x:c>
    </x:row>
    <x:row r="104" spans="2:8" x14ac:dyDescent="0.2">
      <x:c r="B104" s="8">
        <x:f>$C$6</x:f>
      </x:c>
      <x:c r="C104" s="7">
        <x:f>PV($C$6,$C$11,$C$22,0,0)</x:f>
      </x:c>
      <x:c r="D104" s="7">
        <x:f>PV($C$6,$C$12,$C$22,0,0)</x:f>
      </x:c>
      <x:c r="E104" s="7">
        <x:f>PV($C$6,$C$13,$C$22,0,0)</x:f>
      </x:c>
      <x:c r="F104" s="7">
        <x:f>PV($C$6,$C$14,$C$22,0,0)</x:f>
      </x:c>
      <x:c r="G104" s="7">
        <x:f>PV($C$6,$C$15,$C$22,0,0)</x:f>
      </x:c>
      <x:c r="H104" s="7">
        <x:f>PV($C$6,$C$16,$C$22,0,0)</x:f>
      </x:c>
    </x:row>
    <x:row r="105" spans="2:8" x14ac:dyDescent="0.2">
      <x:c r="B105" s="8">
        <x:f>$C$7</x:f>
      </x:c>
      <x:c r="C105" s="7">
        <x:f>PV($C$7,$C$11,$C$22,0,0)</x:f>
      </x:c>
      <x:c r="D105" s="7">
        <x:f>PV($C$7,$C$12,$C$22,0,0)</x:f>
      </x:c>
      <x:c r="E105" s="7">
        <x:f>PV($C$7,$C$13,$C$22,0,0)</x:f>
      </x:c>
      <x:c r="F105" s="7">
        <x:f>PV($C$7,$C$14,$C$22,0,0)</x:f>
      </x:c>
      <x:c r="G105" s="7">
        <x:f>PV($C$7,$C$15,$C$22,0,0)</x:f>
      </x:c>
      <x:c r="H105" s="7">
        <x:f>PV($C$7,$C$16,$C$22,0,0)</x:f>
      </x:c>
    </x:row>
    <x:row r="106" spans="2:8" x14ac:dyDescent="0.2">
      <x:c r="B106" s="8">
        <x:f>$C$8</x:f>
      </x:c>
      <x:c r="C106" s="7">
        <x:f>PV($C$8,$C$11,$C$22,0,0)</x:f>
      </x:c>
      <x:c r="D106" s="7">
        <x:f>PV($C$8,$C$12,$C$22,0,0)</x:f>
      </x:c>
      <x:c r="E106" s="7">
        <x:f>PV($C$8,$C$13,$C$22,0,0)</x:f>
      </x:c>
      <x:c r="F106" s="7">
        <x:f>PV($C$8,$C$14,$C$22,0,0)</x:f>
      </x:c>
      <x:c r="G106" s="7">
        <x:f>PV($C$8,$C$15,$C$22,0,0)</x:f>
      </x:c>
      <x:c r="H106" s="7">
        <x:f>PV($C$8,$C$16,$C$22,0,0)</x:f>
      </x:c>
    </x:row>
    <x:row r="107" spans="2:8" x14ac:dyDescent="0.2">
      <x:c r="B107" s="8">
        <x:f>$C$9</x:f>
      </x:c>
      <x:c r="C107" s="7">
        <x:f>PV($C$9,$C$11,$C$22,0,0)</x:f>
      </x:c>
      <x:c r="D107" s="7">
        <x:f>PV($C$9,$C$12,$C$22,0,0)</x:f>
      </x:c>
      <x:c r="E107" s="7">
        <x:f>PV($C$9,$C$13,$C$22,0,0)</x:f>
      </x:c>
      <x:c r="F107" s="7">
        <x:f>PV($C$9,$C$14,$C$22,0,0)</x:f>
      </x:c>
      <x:c r="G107" s="7">
        <x:f>PV($C$9,$C$15,$C$22,0,0)</x:f>
      </x:c>
      <x:c r="H107" s="7">
        <x:f>PV($C$9,$C$16,$C$22,0,0)</x:f>
      </x:c>
    </x:row>
    <x:row r="108" spans="2:8" x14ac:dyDescent="0.2">
      <x:c r="B108" s="8">
        <x:f>$C$10</x:f>
      </x:c>
      <x:c r="C108" s="7">
        <x:f>PV($C$10,$C$11,$C$22,0,0)</x:f>
      </x:c>
      <x:c r="D108" s="7">
        <x:f>PV($C$10,$C$12,$C$22,0,0)</x:f>
      </x:c>
      <x:c r="E108" s="7">
        <x:f>PV($C$10,$C$13,$C$22,0,0)</x:f>
      </x:c>
      <x:c r="F108" s="7">
        <x:f>PV($C$10,$C$14,$C$22,0,0)</x:f>
      </x:c>
      <x:c r="G108" s="7">
        <x:f>PV($C$10,$C$15,$C$22,0,0)</x:f>
      </x:c>
      <x:c r="H108" s="7">
        <x:f>PV($C$10,$C$16,$C$22,0,0)</x:f>
      </x:c>
    </x:row>
    <x:row r="110" spans="2:8" x14ac:dyDescent="0.2">
      <x:c r="B110" s="9" t="s">
        <x:v>65</x:v>
      </x:c>
    </x:row>
    <x:row r="111" spans="2:8" x14ac:dyDescent="0.2">
      <x:c r="B111" s="14" t="s">
        <x:v>1</x:v>
      </x:c>
      <x:c r="C111" s="13">
        <x:f>$C$11</x:f>
      </x:c>
      <x:c r="D111" s="13">
        <x:f>$C$12</x:f>
      </x:c>
      <x:c r="E111" s="13">
        <x:f>$C$13</x:f>
      </x:c>
      <x:c r="F111" s="13">
        <x:f>$C$14</x:f>
      </x:c>
      <x:c r="G111" s="13">
        <x:f>$C$15</x:f>
      </x:c>
      <x:c r="H111" s="13">
        <x:f>$C$16</x:f>
      </x:c>
    </x:row>
    <x:row r="112" spans="2:8" x14ac:dyDescent="0.2">
      <x:c r="B112" s="8">
        <x:f>$C$5</x:f>
      </x:c>
      <x:c r="C112" s="7">
        <x:f>PV($C$5,$C$11,$C$22,$C$29,1)</x:f>
      </x:c>
      <x:c r="D112" s="7">
        <x:f>PV($C$5,$C$12,$C$22,$C$29,1)</x:f>
      </x:c>
      <x:c r="E112" s="7">
        <x:f>PV($C$5,$C$13,$C$22,$C$29,1)</x:f>
      </x:c>
      <x:c r="F112" s="7">
        <x:f>PV($C$5,$C$14,$C$22,$C$29,1)</x:f>
      </x:c>
      <x:c r="G112" s="7">
        <x:f>PV($C$5,$C$15,$C$22,$C$29,1)</x:f>
      </x:c>
      <x:c r="H112" s="7">
        <x:f>PV($C$5,$C$16,$C$22,$C$29,1)</x:f>
      </x:c>
    </x:row>
    <x:row r="113" spans="2:8" x14ac:dyDescent="0.2">
      <x:c r="B113" s="8">
        <x:f>$C$6</x:f>
      </x:c>
      <x:c r="C113" s="7">
        <x:f>PV($C$6,$C$11,$C$22,$C$29,1)</x:f>
      </x:c>
      <x:c r="D113" s="7">
        <x:f>PV($C$6,$C$12,$C$22,$C$29,1)</x:f>
      </x:c>
      <x:c r="E113" s="7">
        <x:f>PV($C$6,$C$13,$C$22,$C$29,1)</x:f>
      </x:c>
      <x:c r="F113" s="7">
        <x:f>PV($C$6,$C$14,$C$22,$C$29,1)</x:f>
      </x:c>
      <x:c r="G113" s="7">
        <x:f>PV($C$6,$C$15,$C$22,$C$29,1)</x:f>
      </x:c>
      <x:c r="H113" s="7">
        <x:f>PV($C$6,$C$16,$C$22,$C$29,1)</x:f>
      </x:c>
    </x:row>
    <x:row r="114" spans="2:8" x14ac:dyDescent="0.2">
      <x:c r="B114" s="8">
        <x:f>$C$7</x:f>
      </x:c>
      <x:c r="C114" s="7">
        <x:f>PV($C$7,$C$11,$C$22,$C$29,1)</x:f>
      </x:c>
      <x:c r="D114" s="7">
        <x:f>PV($C$7,$C$12,$C$22,$C$29,1)</x:f>
      </x:c>
      <x:c r="E114" s="7">
        <x:f>PV($C$7,$C$13,$C$22,$C$29,1)</x:f>
      </x:c>
      <x:c r="F114" s="7">
        <x:f>PV($C$7,$C$14,$C$22,$C$29,1)</x:f>
      </x:c>
      <x:c r="G114" s="7">
        <x:f>PV($C$7,$C$15,$C$22,$C$29,1)</x:f>
      </x:c>
      <x:c r="H114" s="7">
        <x:f>PV($C$7,$C$16,$C$22,$C$29,1)</x:f>
      </x:c>
    </x:row>
    <x:row r="115" spans="2:8" x14ac:dyDescent="0.2">
      <x:c r="B115" s="8">
        <x:f>$C$8</x:f>
      </x:c>
      <x:c r="C115" s="7">
        <x:f>PV($C$8,$C$11,$C$22,$C$29,1)</x:f>
      </x:c>
      <x:c r="D115" s="7">
        <x:f>PV($C$8,$C$12,$C$22,$C$29,1)</x:f>
      </x:c>
      <x:c r="E115" s="7">
        <x:f>PV($C$8,$C$13,$C$22,$C$29,1)</x:f>
      </x:c>
      <x:c r="F115" s="7">
        <x:f>PV($C$8,$C$14,$C$22,$C$29,1)</x:f>
      </x:c>
      <x:c r="G115" s="7">
        <x:f>PV($C$8,$C$15,$C$22,$C$29,1)</x:f>
      </x:c>
      <x:c r="H115" s="7">
        <x:f>PV($C$8,$C$16,$C$22,$C$29,1)</x:f>
      </x:c>
    </x:row>
    <x:row r="116" spans="2:8" x14ac:dyDescent="0.2">
      <x:c r="B116" s="8">
        <x:f>$C$9</x:f>
      </x:c>
      <x:c r="C116" s="7">
        <x:f>PV($C$9,$C$11,$C$22,$C$29,1)</x:f>
      </x:c>
      <x:c r="D116" s="7">
        <x:f>PV($C$9,$C$12,$C$22,$C$29,1)</x:f>
      </x:c>
      <x:c r="E116" s="7">
        <x:f>PV($C$9,$C$13,$C$22,$C$29,1)</x:f>
      </x:c>
      <x:c r="F116" s="7">
        <x:f>PV($C$9,$C$14,$C$22,$C$29,1)</x:f>
      </x:c>
      <x:c r="G116" s="7">
        <x:f>PV($C$9,$C$15,$C$22,$C$29,1)</x:f>
      </x:c>
      <x:c r="H116" s="7">
        <x:f>PV($C$9,$C$16,$C$22,$C$29,1)</x:f>
      </x:c>
    </x:row>
    <x:row r="117" spans="2:8" x14ac:dyDescent="0.2">
      <x:c r="B117" s="8">
        <x:f>$C$10</x:f>
      </x:c>
      <x:c r="C117" s="7">
        <x:f>PV($C$10,$C$11,$C$22,$C$29,1)</x:f>
      </x:c>
      <x:c r="D117" s="7">
        <x:f>PV($C$10,$C$12,$C$22,$C$29,1)</x:f>
      </x:c>
      <x:c r="E117" s="7">
        <x:f>PV($C$10,$C$13,$C$22,$C$29,1)</x:f>
      </x:c>
      <x:c r="F117" s="7">
        <x:f>PV($C$10,$C$14,$C$22,$C$29,1)</x:f>
      </x:c>
      <x:c r="G117" s="7">
        <x:f>PV($C$10,$C$15,$C$22,$C$29,1)</x:f>
      </x:c>
      <x:c r="H117" s="7">
        <x:f>PV($C$10,$C$16,$C$22,$C$29,1)</x:f>
      </x:c>
    </x:row>
    <x:row r="120" spans="2:8" x14ac:dyDescent="0.2">
      <x:c r="B120" s="5" t="s">
        <x:v>66</x:v>
      </x:c>
    </x:row>
    <x:row r="121" spans="2:8" x14ac:dyDescent="0.2">
      <x:c r="B121" s="14" t="s">
        <x:v>1</x:v>
      </x:c>
      <x:c r="C121" s="12" t="s">
        <x:v>67</x:v>
      </x:c>
      <x:c r="D121" s="12" t="s">
        <x:v>68</x:v>
      </x:c>
      <x:c r="E121" s="12" t="s">
        <x:v>69</x:v>
      </x:c>
    </x:row>
    <x:row r="122" spans="2:8" x14ac:dyDescent="0.2">
      <x:c r="B122" s="8">
        <x:f>$C$5</x:f>
      </x:c>
      <x:c r="C122" s="7">
        <x:f>$C$47+NPV($C$5,$C$48,$C$49,$C$50,$C$51)</x:f>
      </x:c>
      <x:c r="D122" s="7">
        <x:f>$C$52+NPV($C$5,$C$53,$C$54,$C$55,$C$56)</x:f>
      </x:c>
      <x:c r="E122" s="7">
        <x:f>$C$57+NPV($C$5,$C$58,$C$59,$C$60,$C$61)</x:f>
      </x:c>
    </x:row>
    <x:row r="123" spans="2:8" x14ac:dyDescent="0.2">
      <x:c r="B123" s="8">
        <x:f>$C$6</x:f>
      </x:c>
      <x:c r="C123" s="7">
        <x:f>$C$47+NPV($C$6,$C$48,$C$49,$C$50,$C$51)</x:f>
      </x:c>
      <x:c r="D123" s="7">
        <x:f>$C$52+NPV($C$6,$C$53,$C$54,$C$55,$C$56)</x:f>
      </x:c>
      <x:c r="E123" s="7">
        <x:f>$C$57+NPV($C$6,$C$58,$C$59,$C$60,$C$61)</x:f>
      </x:c>
    </x:row>
    <x:row r="124" spans="2:8" x14ac:dyDescent="0.2">
      <x:c r="B124" s="8">
        <x:f>$C$7</x:f>
      </x:c>
      <x:c r="C124" s="7">
        <x:f>$C$47+NPV($C$7,$C$48,$C$49,$C$50,$C$51)</x:f>
      </x:c>
      <x:c r="D124" s="7">
        <x:f>$C$52+NPV($C$7,$C$53,$C$54,$C$55,$C$56)</x:f>
      </x:c>
      <x:c r="E124" s="7">
        <x:f>$C$57+NPV($C$7,$C$58,$C$59,$C$60,$C$61)</x:f>
      </x:c>
    </x:row>
    <x:row r="125" spans="2:8" x14ac:dyDescent="0.2">
      <x:c r="B125" s="8">
        <x:f>$C$8</x:f>
      </x:c>
      <x:c r="C125" s="7">
        <x:f>$C$47+NPV($C$8,$C$48,$C$49,$C$50,$C$51)</x:f>
      </x:c>
      <x:c r="D125" s="7">
        <x:f>$C$52+NPV($C$8,$C$53,$C$54,$C$55,$C$56)</x:f>
      </x:c>
      <x:c r="E125" s="7">
        <x:f>$C$57+NPV($C$8,$C$58,$C$59,$C$60,$C$61)</x:f>
      </x:c>
    </x:row>
    <x:row r="126" spans="2:8" x14ac:dyDescent="0.2">
      <x:c r="B126" s="8">
        <x:f>$C$9</x:f>
      </x:c>
      <x:c r="C126" s="7">
        <x:f>$C$47+NPV($C$9,$C$48,$C$49,$C$50,$C$51)</x:f>
      </x:c>
      <x:c r="D126" s="7">
        <x:f>$C$52+NPV($C$9,$C$53,$C$54,$C$55,$C$56)</x:f>
      </x:c>
      <x:c r="E126" s="7">
        <x:f>$C$57+NPV($C$9,$C$58,$C$59,$C$60,$C$61)</x:f>
      </x:c>
    </x:row>
    <x:row r="127" spans="2:8" x14ac:dyDescent="0.2">
      <x:c r="B127" s="8">
        <x:f>$C$10</x:f>
      </x:c>
      <x:c r="C127" s="7">
        <x:f>$C$47+NPV($C$10,$C$48,$C$49,$C$50,$C$51)</x:f>
      </x:c>
      <x:c r="D127" s="7">
        <x:f>$C$52+NPV($C$10,$C$53,$C$54,$C$55,$C$56)</x:f>
      </x:c>
      <x:c r="E127" s="7">
        <x:f>$C$57+NPV($C$10,$C$58,$C$59,$C$60,$C$61)</x:f>
      </x:c>
    </x:row>
    <x:row r="130" spans="2:7" x14ac:dyDescent="0.2">
      <x:c r="B130" s="5" t="s">
        <x:v>70</x:v>
      </x:c>
    </x:row>
    <x:row r="131" spans="2:7" x14ac:dyDescent="0.2">
      <x:c r="B131" s="14" t="s">
        <x:v>1</x:v>
      </x:c>
      <x:c r="C131" s="12" t="s">
        <x:v>71</x:v>
      </x:c>
      <x:c r="D131" s="12" t="s">
        <x:v>72</x:v>
      </x:c>
      <x:c r="E131" s="12" t="s">
        <x:v>73</x:v>
      </x:c>
    </x:row>
    <x:row r="132" spans="2:7" x14ac:dyDescent="0.2">
      <x:c r="B132" s="6" t="s">
        <x:v>67</x:v>
      </x:c>
      <x:c r="C132" s="7">
        <x:f>IRR($C$47:$C$51,0.1)</x:f>
      </x:c>
      <x:c r="D132" s="7">
        <x:f>IRR($C$47:$C$51,0.2)</x:f>
      </x:c>
      <x:c r="E132" s="7">
        <x:f>IRR($C$47:$C$51,0.5)</x:f>
      </x:c>
    </x:row>
    <x:row r="133" spans="2:7" x14ac:dyDescent="0.2">
      <x:c r="B133" s="6" t="s">
        <x:v>68</x:v>
      </x:c>
      <x:c r="C133" s="7">
        <x:f>IRR($C$52:$C$56,0.1)</x:f>
      </x:c>
      <x:c r="D133" s="7">
        <x:f>IRR($C$52:$C$56,0.2)</x:f>
      </x:c>
      <x:c r="E133" s="7">
        <x:f>IRR($C$52:$C$56,0.5)</x:f>
      </x:c>
    </x:row>
    <x:row r="134" spans="2:7" x14ac:dyDescent="0.2">
      <x:c r="B134" s="6" t="s">
        <x:v>69</x:v>
      </x:c>
      <x:c r="C134" s="7">
        <x:f>IRR($C$57:$C$61,0.1)</x:f>
      </x:c>
      <x:c r="D134" s="7">
        <x:f>IRR($C$57:$C$61,0.2)</x:f>
      </x:c>
      <x:c r="E134" s="7">
        <x:f>IRR($C$57:$C$61,0.5)</x:f>
      </x:c>
    </x:row>
    <x:row r="137" spans="2:7" x14ac:dyDescent="0.2">
      <x:c r="B137" s="11" t="s">
        <x:v>74</x:v>
      </x:c>
    </x:row>
    <x:row r="138" spans="2:7" x14ac:dyDescent="0.2">
      <x:c r="B138" s="14" t="s">
        <x:v>1</x:v>
      </x:c>
      <x:c r="C138" s="13">
        <x:f>$C$17</x:f>
      </x:c>
      <x:c r="D138" s="13">
        <x:f>$C$18</x:f>
      </x:c>
      <x:c r="E138" s="13">
        <x:f>$C$19</x:f>
      </x:c>
      <x:c r="F138" s="13">
        <x:f>$C$20</x:f>
      </x:c>
      <x:c r="G138" s="13">
        <x:f>$C$21</x:f>
      </x:c>
    </x:row>
    <x:row r="139" spans="2:7" x14ac:dyDescent="0.2">
      <x:c r="B139" s="8">
        <x:f>$C$11</x:f>
      </x:c>
      <x:c r="C139" s="7">
        <x:f>RATE($C$11,$C$17,$C$22)</x:f>
      </x:c>
      <x:c r="D139" s="7">
        <x:f>RATE($C$11,$C$18,$C$22)</x:f>
      </x:c>
      <x:c r="E139" s="7">
        <x:f>RATE($C$11,$C$19,$C$22)</x:f>
      </x:c>
      <x:c r="F139" s="7">
        <x:f>RATE($C$11,$C$20,$C$22)</x:f>
      </x:c>
      <x:c r="G139" s="7">
        <x:f>RATE($C$11,$C$21,$C$22)</x:f>
      </x:c>
    </x:row>
    <x:row r="140" spans="2:7" x14ac:dyDescent="0.2">
      <x:c r="B140" s="8">
        <x:f>$C$12</x:f>
      </x:c>
      <x:c r="C140" s="7">
        <x:f>RATE($C$12,$C$17,$C$22)</x:f>
      </x:c>
      <x:c r="D140" s="7">
        <x:f>RATE($C$12,$C$18,$C$22)</x:f>
      </x:c>
      <x:c r="E140" s="7">
        <x:f>RATE($C$12,$C$19,$C$22)</x:f>
      </x:c>
      <x:c r="F140" s="7">
        <x:f>RATE($C$12,$C$20,$C$22)</x:f>
      </x:c>
      <x:c r="G140" s="7">
        <x:f>RATE($C$12,$C$21,$C$22)</x:f>
      </x:c>
    </x:row>
    <x:row r="141" spans="2:7" x14ac:dyDescent="0.2">
      <x:c r="B141" s="8">
        <x:f>$C$13</x:f>
      </x:c>
      <x:c r="C141" s="7">
        <x:f>RATE($C$13,$C$17,$C$22)</x:f>
      </x:c>
      <x:c r="D141" s="7">
        <x:f>RATE($C$13,$C$18,$C$22)</x:f>
      </x:c>
      <x:c r="E141" s="7">
        <x:f>RATE($C$13,$C$19,$C$22)</x:f>
      </x:c>
      <x:c r="F141" s="7">
        <x:f>RATE($C$13,$C$20,$C$22)</x:f>
      </x:c>
      <x:c r="G141" s="7">
        <x:f>RATE($C$13,$C$21,$C$22)</x:f>
      </x:c>
    </x:row>
    <x:row r="142" spans="2:7" x14ac:dyDescent="0.2">
      <x:c r="B142" s="8">
        <x:f>$C$14</x:f>
      </x:c>
      <x:c r="C142" s="7">
        <x:f>RATE($C$14,$C$17,$C$22)</x:f>
      </x:c>
      <x:c r="D142" s="7">
        <x:f>RATE($C$14,$C$18,$C$22)</x:f>
      </x:c>
      <x:c r="E142" s="7">
        <x:f>RATE($C$14,$C$19,$C$22)</x:f>
      </x:c>
      <x:c r="F142" s="7">
        <x:f>RATE($C$14,$C$20,$C$22)</x:f>
      </x:c>
      <x:c r="G142" s="7">
        <x:f>RATE($C$14,$C$21,$C$22)</x:f>
      </x:c>
    </x:row>
    <x:row r="143" spans="2:7" x14ac:dyDescent="0.2">
      <x:c r="B143" s="8">
        <x:f>$C$15</x:f>
      </x:c>
      <x:c r="C143" s="7">
        <x:f>RATE($C$15,$C$17,$C$22)</x:f>
      </x:c>
      <x:c r="D143" s="7">
        <x:f>RATE($C$15,$C$18,$C$22)</x:f>
      </x:c>
      <x:c r="E143" s="7">
        <x:f>RATE($C$15,$C$19,$C$22)</x:f>
      </x:c>
      <x:c r="F143" s="7">
        <x:f>RATE($C$15,$C$20,$C$22)</x:f>
      </x:c>
      <x:c r="G143" s="7">
        <x:f>RATE($C$15,$C$21,$C$22)</x:f>
      </x:c>
    </x:row>
    <x:row r="144" spans="2:7" x14ac:dyDescent="0.2">
      <x:c r="B144" s="8">
        <x:f>$C$16</x:f>
      </x:c>
      <x:c r="C144" s="7">
        <x:f>RATE($C$16,$C$17,$C$22)</x:f>
      </x:c>
      <x:c r="D144" s="7">
        <x:f>RATE($C$16,$C$18,$C$22)</x:f>
      </x:c>
      <x:c r="E144" s="7">
        <x:f>RATE($C$16,$C$19,$C$22)</x:f>
      </x:c>
      <x:c r="F144" s="7">
        <x:f>RATE($C$16,$C$20,$C$22)</x:f>
      </x:c>
      <x:c r="G144" s="7">
        <x:f>RATE($C$16,$C$21,$C$22)</x:f>
      </x:c>
    </x:row>
    <x:row r="147" spans="2:7" x14ac:dyDescent="0.2">
      <x:c r="B147" s="5" t="s">
        <x:v>75</x:v>
      </x:c>
    </x:row>
    <x:row r="148" spans="2:7" x14ac:dyDescent="0.2">
      <x:c r="B148" s="14" t="s">
        <x:v>1</x:v>
      </x:c>
      <x:c r="C148" s="13">
        <x:f>$C$22</x:f>
      </x:c>
      <x:c r="D148" s="13">
        <x:f>$C$23</x:f>
      </x:c>
      <x:c r="E148" s="13">
        <x:f>$C$24</x:f>
      </x:c>
      <x:c r="F148" s="13">
        <x:f>$C$25</x:f>
      </x:c>
      <x:c r="G148" s="13">
        <x:f>$C$26</x:f>
      </x:c>
    </x:row>
    <x:row r="149" spans="2:7" x14ac:dyDescent="0.2">
      <x:c r="B149" s="8">
        <x:f>$C$5</x:f>
      </x:c>
      <x:c r="C149" s="7">
        <x:f>NPER($C$5,$C$22,$C$18)</x:f>
      </x:c>
      <x:c r="D149" s="7">
        <x:f>NPER($C$5,$C$23,$C$18)</x:f>
      </x:c>
      <x:c r="E149" s="7">
        <x:f>NPER($C$5,$C$24,$C$18)</x:f>
      </x:c>
      <x:c r="F149" s="7">
        <x:f>NPER($C$5,$C$25,$C$18)</x:f>
      </x:c>
      <x:c r="G149" s="7">
        <x:f>NPER($C$5,$C$26,$C$18)</x:f>
      </x:c>
    </x:row>
    <x:row r="150" spans="2:7" x14ac:dyDescent="0.2">
      <x:c r="B150" s="8">
        <x:f>$C$6</x:f>
      </x:c>
      <x:c r="C150" s="7">
        <x:f>NPER($C$6,$C$22,$C$18)</x:f>
      </x:c>
      <x:c r="D150" s="7">
        <x:f>NPER($C$6,$C$23,$C$18)</x:f>
      </x:c>
      <x:c r="E150" s="7">
        <x:f>NPER($C$6,$C$24,$C$18)</x:f>
      </x:c>
      <x:c r="F150" s="7">
        <x:f>NPER($C$6,$C$25,$C$18)</x:f>
      </x:c>
      <x:c r="G150" s="7">
        <x:f>NPER($C$6,$C$26,$C$18)</x:f>
      </x:c>
    </x:row>
    <x:row r="151" spans="2:7" x14ac:dyDescent="0.2">
      <x:c r="B151" s="8">
        <x:f>$C$7</x:f>
      </x:c>
      <x:c r="C151" s="7">
        <x:f>NPER($C$7,$C$22,$C$18)</x:f>
      </x:c>
      <x:c r="D151" s="7">
        <x:f>NPER($C$7,$C$23,$C$18)</x:f>
      </x:c>
      <x:c r="E151" s="7">
        <x:f>NPER($C$7,$C$24,$C$18)</x:f>
      </x:c>
      <x:c r="F151" s="7">
        <x:f>NPER($C$7,$C$25,$C$18)</x:f>
      </x:c>
      <x:c r="G151" s="7">
        <x:f>NPER($C$7,$C$26,$C$18)</x:f>
      </x:c>
    </x:row>
    <x:row r="152" spans="2:7" x14ac:dyDescent="0.2">
      <x:c r="B152" s="8">
        <x:f>$C$8</x:f>
      </x:c>
      <x:c r="C152" s="7">
        <x:f>NPER($C$8,$C$22,$C$18)</x:f>
      </x:c>
      <x:c r="D152" s="7">
        <x:f>NPER($C$8,$C$23,$C$18)</x:f>
      </x:c>
      <x:c r="E152" s="7">
        <x:f>NPER($C$8,$C$24,$C$18)</x:f>
      </x:c>
      <x:c r="F152" s="7">
        <x:f>NPER($C$8,$C$25,$C$18)</x:f>
      </x:c>
      <x:c r="G152" s="7">
        <x:f>NPER($C$8,$C$26,$C$18)</x:f>
      </x:c>
    </x:row>
    <x:row r="153" spans="2:7" x14ac:dyDescent="0.2">
      <x:c r="B153" s="8">
        <x:f>$C$9</x:f>
      </x:c>
      <x:c r="C153" s="7">
        <x:f>NPER($C$9,$C$22,$C$18)</x:f>
      </x:c>
      <x:c r="D153" s="7">
        <x:f>NPER($C$9,$C$23,$C$18)</x:f>
      </x:c>
      <x:c r="E153" s="7">
        <x:f>NPER($C$9,$C$24,$C$18)</x:f>
      </x:c>
      <x:c r="F153" s="7">
        <x:f>NPER($C$9,$C$25,$C$18)</x:f>
      </x:c>
      <x:c r="G153" s="7">
        <x:f>NPER($C$9,$C$26,$C$18)</x:f>
      </x:c>
    </x:row>
    <x:row r="154" spans="2:7" x14ac:dyDescent="0.2">
      <x:c r="B154" s="8">
        <x:f>$C$10</x:f>
      </x:c>
      <x:c r="C154" s="7">
        <x:f>NPER($C$10,$C$22,$C$18)</x:f>
      </x:c>
      <x:c r="D154" s="7">
        <x:f>NPER($C$10,$C$23,$C$18)</x:f>
      </x:c>
      <x:c r="E154" s="7">
        <x:f>NPER($C$10,$C$24,$C$18)</x:f>
      </x:c>
      <x:c r="F154" s="7">
        <x:f>NPER($C$10,$C$25,$C$18)</x:f>
      </x:c>
      <x:c r="G154" s="7">
        <x:f>NPER($C$10,$C$26,$C$18)</x:f>
      </x:c>
    </x:row>
    <x:row r="157" spans="2:7" x14ac:dyDescent="0.2">
      <x:c r="B157" s="5" t="s">
        <x:v>76</x:v>
      </x:c>
    </x:row>
    <x:row r="158" spans="2:7" x14ac:dyDescent="0.2">
      <x:c r="B158" s="14" t="s">
        <x:v>1</x:v>
      </x:c>
      <x:c r="C158" s="13">
        <x:f>$C$35</x:f>
      </x:c>
      <x:c r="D158" s="13">
        <x:f>$C$36</x:f>
      </x:c>
    </x:row>
    <x:row r="159" spans="2:7" x14ac:dyDescent="0.2">
      <x:c r="B159" s="8">
        <x:f>$C$33</x:f>
      </x:c>
      <x:c r="C159" s="7">
        <x:f>SLN($C$33,$C$35,$C$37)</x:f>
      </x:c>
      <x:c r="D159" s="7">
        <x:f>SLN($C$33,$C$36,$C$37)</x:f>
      </x:c>
    </x:row>
    <x:row r="160" spans="2:7" x14ac:dyDescent="0.2">
      <x:c r="B160" s="8">
        <x:f>$C$34</x:f>
      </x:c>
      <x:c r="C160" s="7">
        <x:f>SLN($C$34,$C$35,$C$37)</x:f>
      </x:c>
      <x:c r="D160" s="7">
        <x:f>SLN($C$34,$C$36,$C$37)</x:f>
      </x:c>
    </x:row>
    <x:row r="163" spans="2:4" x14ac:dyDescent="0.2">
      <x:c r="B163" s="5" t="s">
        <x:v>77</x:v>
      </x:c>
    </x:row>
    <x:row r="164" spans="2:4" x14ac:dyDescent="0.2">
      <x:c r="B164" s="14" t="s">
        <x:v>1</x:v>
      </x:c>
      <x:c r="C164" s="13">
        <x:f>$C$37</x:f>
      </x:c>
      <x:c r="D164" s="13">
        <x:f>$C$38</x:f>
      </x:c>
    </x:row>
    <x:row r="165" spans="2:4" x14ac:dyDescent="0.2">
      <x:c r="B165" s="8">
        <x:f>$C$39</x:f>
      </x:c>
      <x:c r="C165" s="7">
        <x:f>DB($C$33,$C$35,$C$37,$C$39)</x:f>
      </x:c>
      <x:c r="D165" s="7">
        <x:f>DB($C$33,$C$35,$C$38,$C$39)</x:f>
      </x:c>
    </x:row>
    <x:row r="166" spans="2:4" x14ac:dyDescent="0.2">
      <x:c r="B166" s="8">
        <x:f>$C$40</x:f>
      </x:c>
      <x:c r="C166" s="7">
        <x:f>DB($C$33,$C$35,$C$37,$C$40)</x:f>
      </x:c>
      <x:c r="D166" s="7">
        <x:f>DB($C$33,$C$35,$C$38,$C$40)</x:f>
      </x:c>
    </x:row>
    <x:row r="167" spans="2:4" x14ac:dyDescent="0.2">
      <x:c r="B167" s="8">
        <x:f>$C$41</x:f>
      </x:c>
      <x:c r="C167" s="7">
        <x:f>DB($C$33,$C$35,$C$37,$C$41)</x:f>
      </x:c>
      <x:c r="D167" s="7">
        <x:f>DB($C$33,$C$35,$C$38,$C$41)</x:f>
      </x:c>
    </x:row>
    <x:row r="170" spans="2:4" x14ac:dyDescent="0.2">
      <x:c r="B170" s="5" t="s">
        <x:v>78</x:v>
      </x:c>
    </x:row>
    <x:row r="171" spans="2:4" x14ac:dyDescent="0.2">
      <x:c r="B171" s="14" t="s">
        <x:v>1</x:v>
      </x:c>
      <x:c r="C171" s="13">
        <x:f>$C$37</x:f>
      </x:c>
      <x:c r="D171" s="13">
        <x:f>$C$38</x:f>
      </x:c>
    </x:row>
    <x:row r="172" spans="2:4" x14ac:dyDescent="0.2">
      <x:c r="B172" s="8">
        <x:f>$C$39</x:f>
      </x:c>
      <x:c r="C172" s="7">
        <x:f>DDB($C$33,$C$35,$C$37,$C$39)</x:f>
      </x:c>
      <x:c r="D172" s="7">
        <x:f>DDB($C$33,$C$35,$C$38,$C$39)</x:f>
      </x:c>
    </x:row>
    <x:row r="173" spans="2:4" x14ac:dyDescent="0.2">
      <x:c r="B173" s="8">
        <x:f>$C$40</x:f>
      </x:c>
      <x:c r="C173" s="7">
        <x:f>DDB($C$33,$C$35,$C$37,$C$40)</x:f>
      </x:c>
      <x:c r="D173" s="7">
        <x:f>DDB($C$33,$C$35,$C$38,$C$40)</x:f>
      </x:c>
    </x:row>
    <x:row r="174" spans="2:4" x14ac:dyDescent="0.2">
      <x:c r="B174" s="8">
        <x:f>$C$41</x:f>
      </x:c>
      <x:c r="C174" s="7">
        <x:f>DDB($C$33,$C$35,$C$37,$C$41)</x:f>
      </x:c>
      <x:c r="D174" s="7">
        <x:f>DDB($C$33,$C$35,$C$38,$C$41)</x:f>
      </x:c>
    </x:row>
    <x:row r="175" spans="2:4" x14ac:dyDescent="0.2">
      <x:c r="B175" s="9" t="s">
        <x:v>79</x:v>
      </x:c>
    </x:row>
    <x:row r="176" spans="2:4" x14ac:dyDescent="0.2">
      <x:c r="B176" s="14" t="s">
        <x:v>1</x:v>
      </x:c>
      <x:c r="C176" s="13">
        <x:f>$C$37</x:f>
      </x:c>
      <x:c r="D176" s="13">
        <x:f>$C$38</x:f>
      </x:c>
    </x:row>
    <x:row r="177" spans="2:5" x14ac:dyDescent="0.2">
      <x:c r="B177" s="8">
        <x:f>$C$39</x:f>
      </x:c>
      <x:c r="C177" s="7">
        <x:f>DDB($C$33,$C$35,$C$37,$C$39,1.5)</x:f>
      </x:c>
      <x:c r="D177" s="7">
        <x:f>DDB($C$33,$C$35,$C$38,$C$39,1.5)</x:f>
      </x:c>
    </x:row>
    <x:row r="178" spans="2:5" x14ac:dyDescent="0.2">
      <x:c r="B178" s="8">
        <x:f>$C$40</x:f>
      </x:c>
      <x:c r="C178" s="7">
        <x:f>DDB($C$33,$C$35,$C$37,$C$40,1.5)</x:f>
      </x:c>
      <x:c r="D178" s="7">
        <x:f>DDB($C$33,$C$35,$C$38,$C$40,1.5)</x:f>
      </x:c>
    </x:row>
    <x:row r="179" spans="2:5" x14ac:dyDescent="0.2">
      <x:c r="B179" s="8">
        <x:f>$C$41</x:f>
      </x:c>
      <x:c r="C179" s="7">
        <x:f>DDB($C$33,$C$35,$C$37,$C$41,1.5)</x:f>
      </x:c>
      <x:c r="D179" s="7">
        <x:f>DDB($C$33,$C$35,$C$38,$C$41,1.5)</x:f>
      </x:c>
    </x:row>
    <x:row r="182" spans="2:5" x14ac:dyDescent="0.2">
      <x:c r="B182" s="5" t="s">
        <x:v>80</x:v>
      </x:c>
    </x:row>
    <x:row r="183" spans="2:5" x14ac:dyDescent="0.2">
      <x:c r="B183" s="14" t="s">
        <x:v>1</x:v>
      </x:c>
      <x:c r="C183" s="12" t="s">
        <x:v>67</x:v>
      </x:c>
      <x:c r="D183" s="12" t="s">
        <x:v>68</x:v>
      </x:c>
      <x:c r="E183" s="12" t="s">
        <x:v>69</x:v>
      </x:c>
    </x:row>
    <x:row r="184" spans="2:5" x14ac:dyDescent="0.2">
      <x:c r="B184" s="8">
        <x:f>$C$5</x:f>
      </x:c>
      <x:c r="C184" s="7">
        <x:f>XNPV($C$5,$C$47:$C$51,$C$42:$C$46)</x:f>
      </x:c>
      <x:c r="D184" s="7">
        <x:f>XNPV($C$5,$C$52:$C$56,$C$42:$C$46)</x:f>
      </x:c>
      <x:c r="E184" s="7">
        <x:f>XNPV($C$5,$C$57:$C$61,$C$42:$C$46)</x:f>
      </x:c>
    </x:row>
    <x:row r="185" spans="2:5" x14ac:dyDescent="0.2">
      <x:c r="B185" s="8">
        <x:f>$C$6</x:f>
      </x:c>
      <x:c r="C185" s="7">
        <x:f>XNPV($C$6,$C$47:$C$51,$C$42:$C$46)</x:f>
      </x:c>
      <x:c r="D185" s="7">
        <x:f>XNPV($C$6,$C$52:$C$56,$C$42:$C$46)</x:f>
      </x:c>
      <x:c r="E185" s="7">
        <x:f>XNPV($C$6,$C$57:$C$61,$C$42:$C$46)</x:f>
      </x:c>
    </x:row>
    <x:row r="186" spans="2:5" x14ac:dyDescent="0.2">
      <x:c r="B186" s="8">
        <x:f>$C$7</x:f>
      </x:c>
      <x:c r="C186" s="7">
        <x:f>XNPV($C$7,$C$47:$C$51,$C$42:$C$46)</x:f>
      </x:c>
      <x:c r="D186" s="7">
        <x:f>XNPV($C$7,$C$52:$C$56,$C$42:$C$46)</x:f>
      </x:c>
      <x:c r="E186" s="7">
        <x:f>XNPV($C$7,$C$57:$C$61,$C$42:$C$46)</x:f>
      </x:c>
    </x:row>
    <x:row r="187" spans="2:5" x14ac:dyDescent="0.2">
      <x:c r="B187" s="8">
        <x:f>$C$8</x:f>
      </x:c>
      <x:c r="C187" s="7">
        <x:f>XNPV($C$8,$C$47:$C$51,$C$42:$C$46)</x:f>
      </x:c>
      <x:c r="D187" s="7">
        <x:f>XNPV($C$8,$C$52:$C$56,$C$42:$C$46)</x:f>
      </x:c>
      <x:c r="E187" s="7">
        <x:f>XNPV($C$8,$C$57:$C$61,$C$42:$C$46)</x:f>
      </x:c>
    </x:row>
    <x:row r="188" spans="2:5" x14ac:dyDescent="0.2">
      <x:c r="B188" s="8">
        <x:f>$C$9</x:f>
      </x:c>
      <x:c r="C188" s="7">
        <x:f>XNPV($C$9,$C$47:$C$51,$C$42:$C$46)</x:f>
      </x:c>
      <x:c r="D188" s="7">
        <x:f>XNPV($C$9,$C$52:$C$56,$C$42:$C$46)</x:f>
      </x:c>
      <x:c r="E188" s="7">
        <x:f>XNPV($C$9,$C$57:$C$61,$C$42:$C$46)</x:f>
      </x:c>
    </x:row>
    <x:row r="189" spans="2:5" x14ac:dyDescent="0.2">
      <x:c r="B189" s="8">
        <x:f>$C$10</x:f>
      </x:c>
      <x:c r="C189" s="7">
        <x:f>XNPV($C$10,$C$47:$C$51,$C$42:$C$46)</x:f>
      </x:c>
      <x:c r="D189" s="7">
        <x:f>XNPV($C$10,$C$52:$C$56,$C$42:$C$46)</x:f>
      </x:c>
      <x:c r="E189" s="7">
        <x:f>XNPV($C$10,$C$57:$C$61,$C$42:$C$46)</x:f>
      </x:c>
    </x:row>
    <x:row r="192" spans="2:5" x14ac:dyDescent="0.2">
      <x:c r="B192" s="5" t="s">
        <x:v>81</x:v>
      </x:c>
    </x:row>
    <x:row r="193" spans="2:5" x14ac:dyDescent="0.2">
      <x:c r="B193" s="14" t="s">
        <x:v>1</x:v>
      </x:c>
      <x:c r="C193" s="12" t="s">
        <x:v>71</x:v>
      </x:c>
      <x:c r="D193" s="12" t="s">
        <x:v>72</x:v>
      </x:c>
      <x:c r="E193" s="12" t="s">
        <x:v>73</x:v>
      </x:c>
    </x:row>
    <x:row r="194" spans="2:5" x14ac:dyDescent="0.2">
      <x:c r="B194" s="6" t="s">
        <x:v>67</x:v>
      </x:c>
      <x:c r="C194" s="7">
        <x:f>XIRR($C$47:$C$51,$C$42:$C$46,0.1)</x:f>
      </x:c>
      <x:c r="D194" s="7">
        <x:f>XIRR($C$47:$C$51,$C$42:$C$46,0.2)</x:f>
      </x:c>
      <x:c r="E194" s="7">
        <x:f>XIRR($C$47:$C$51,$C$42:$C$46,0.5)</x:f>
      </x:c>
    </x:row>
    <x:row r="195" spans="2:5" x14ac:dyDescent="0.2">
      <x:c r="B195" s="6" t="s">
        <x:v>68</x:v>
      </x:c>
      <x:c r="C195" s="7">
        <x:f>XIRR($C$52:$C$56,$C$42:$C$46,0.1)</x:f>
      </x:c>
      <x:c r="D195" s="7">
        <x:f>XIRR($C$52:$C$56,$C$42:$C$46,0.2)</x:f>
      </x:c>
      <x:c r="E195" s="7">
        <x:f>XIRR($C$52:$C$56,$C$42:$C$46,0.5)</x:f>
      </x:c>
    </x:row>
    <x:row r="196" spans="2:5" x14ac:dyDescent="0.2">
      <x:c r="B196" s="6" t="s">
        <x:v>69</x:v>
      </x:c>
      <x:c r="C196" s="7">
        <x:f>XIRR($C$57:$C$61,$C$42:$C$46,0.1)</x:f>
      </x:c>
      <x:c r="D196" s="7">
        <x:f>XIRR($C$57:$C$61,$C$42:$C$46,0.2)</x:f>
      </x:c>
      <x:c r="E196" s="7">
        <x:f>XIRR($C$57:$C$61,$C$42:$C$46,0.5)</x:f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2026-02-10T00:11:27Z</dcterms:created>
  <dcterms:modified xsi:type="dcterms:W3CDTF">2026-02-10T00:43:45Z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f3333868-6175-42f4-9ddd-2f197d20c1e6</vt:lpwstr>
  </property>
</Properties>
</file>