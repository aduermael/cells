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math-basic/"/>
    </mc:Choice>
  </mc:AlternateContent>
  <xr:revisionPtr revIDLastSave="0" documentId="13_ncr:1_{3178D93C-C0B3-E042-9881-9EEC8DDEA4BA}" xr6:coauthVersionLast="47" xr6:coauthVersionMax="47" xr10:uidLastSave="{00000000-0000-0000-0000-000000000000}"/>
  <x:bookViews>
    <x:workbookView xWindow="0" yWindow="660" windowWidth="30240" windowHeight="18980" xr2:uid="{624D7C72-09A9-1B41-8369-5D9A99CA846B}"/>
  </x:bookViews>
  <x:sheets>
    <x:sheet name="Math Tests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F185" i="1" l="1"/>
  <c r="C184" i="1"/>
  <c r="D184" i="1"/>
  <c r="E184" i="1"/>
  <c r="F184" i="1"/>
  <c r="C181" i="1"/>
  <c r="D181" i="1"/>
  <c r="E181" i="1"/>
  <c r="F181" i="1"/>
  <c r="G181" i="1"/>
  <c r="C180" i="1"/>
  <c r="D180" i="1"/>
  <c r="E180" i="1"/>
  <c r="F180" i="1"/>
  <c r="G180" i="1"/>
  <c r="C179" i="1"/>
  <c r="D179" i="1"/>
  <c r="E179" i="1"/>
  <c r="F179" i="1"/>
  <c r="G179" i="1"/>
  <c r="C178" i="1"/>
  <c r="D178" i="1"/>
  <c r="E178" i="1"/>
  <c r="F178" i="1"/>
  <c r="G178" i="1"/>
  <c r="C177" i="1"/>
  <c r="D177" i="1"/>
  <c r="E177" i="1"/>
  <c r="F177" i="1"/>
  <c r="G177" i="1"/>
  <c r="C172" i="1"/>
  <c r="D172" i="1"/>
  <c r="D171" i="1"/>
  <c r="E171" i="1"/>
  <c r="F171" i="1"/>
  <c r="G171" i="1"/>
  <c r="C168" i="1"/>
  <c r="D168" i="1"/>
  <c r="E168" i="1"/>
  <c r="F168" i="1"/>
  <c r="G168" i="1"/>
  <c r="C167" i="1"/>
  <c r="D167" i="1"/>
  <c r="E167" i="1"/>
  <c r="F167" i="1"/>
  <c r="G167" i="1"/>
  <c r="C166" i="1"/>
  <c r="D166" i="1"/>
  <c r="E166" i="1"/>
  <c r="F166" i="1"/>
  <c r="G166" i="1"/>
  <c r="C165" i="1"/>
  <c r="D165" i="1"/>
  <c r="E165" i="1"/>
  <c r="F165" i="1"/>
  <c r="G165" i="1"/>
  <c r="C164" i="1"/>
  <c r="D164" i="1"/>
  <c r="E164" i="1"/>
  <c r="F164" i="1"/>
  <c r="G164" i="1"/>
  <c r="C159" i="1"/>
  <c r="D159" i="1"/>
  <c r="E159" i="1"/>
  <c r="F159" i="1"/>
  <c r="G159" i="1"/>
  <c r="G158" i="1"/>
  <c r="C155" i="1"/>
  <c r="D155" i="1"/>
  <c r="E155" i="1"/>
  <c r="F155" i="1"/>
  <c r="G155" i="1"/>
  <c r="C154" i="1"/>
  <c r="D154" i="1"/>
  <c r="E154" i="1"/>
  <c r="F154" i="1"/>
  <c r="G154" i="1"/>
  <c r="C153" i="1"/>
  <c r="D153" i="1"/>
  <c r="E153" i="1"/>
  <c r="F153" i="1"/>
  <c r="G153" i="1"/>
  <c r="C152" i="1"/>
  <c r="D152" i="1"/>
  <c r="E152" i="1"/>
  <c r="F152" i="1"/>
  <c r="G152" i="1"/>
  <c r="C151" i="1"/>
  <c r="D151" i="1"/>
  <c r="E151" i="1"/>
  <c r="F151" i="1"/>
  <c r="G151" i="1"/>
  <c r="C146" i="1"/>
  <c r="D146" i="1"/>
  <c r="E146" i="1"/>
  <c r="F146" i="1"/>
  <c r="G146" i="1"/>
  <c r="C145" i="1"/>
  <c r="D145" i="1"/>
  <c r="E145" i="1"/>
  <c r="C142" i="1"/>
  <c r="D142" i="1"/>
  <c r="E142" i="1"/>
  <c r="F142" i="1"/>
  <c r="G142" i="1"/>
  <c r="C141" i="1"/>
  <c r="D141" i="1"/>
  <c r="E141" i="1"/>
  <c r="F141" i="1"/>
  <c r="G141" i="1"/>
  <c r="C140" i="1"/>
  <c r="D140" i="1"/>
  <c r="E140" i="1"/>
  <c r="F140" i="1"/>
  <c r="G140" i="1"/>
  <c r="C139" i="1"/>
  <c r="D139" i="1"/>
  <c r="E139" i="1"/>
  <c r="F139" i="1"/>
  <c r="G139" i="1"/>
  <c r="C138" i="1"/>
  <c r="D138" i="1"/>
  <c r="E138" i="1"/>
  <c r="F138" i="1"/>
  <c r="G138" i="1"/>
  <c r="F133" i="1"/>
  <c r="G133" i="1"/>
  <c r="C132" i="1"/>
  <c r="D132" i="1"/>
  <c r="E132" i="1"/>
  <c r="F132" i="1"/>
  <c r="G132" i="1"/>
  <c r="C129" i="1"/>
  <c r="D129" i="1"/>
  <c r="E129" i="1"/>
  <c r="F129" i="1"/>
  <c r="G129" i="1"/>
  <c r="C128" i="1"/>
  <c r="D128" i="1"/>
  <c r="E128" i="1"/>
  <c r="F128" i="1"/>
  <c r="G128" i="1"/>
  <c r="C127" i="1"/>
  <c r="D127" i="1"/>
  <c r="E127" i="1"/>
  <c r="F127" i="1"/>
  <c r="G127" i="1"/>
  <c r="C126" i="1"/>
  <c r="D126" i="1"/>
  <c r="E126" i="1"/>
  <c r="F126" i="1"/>
  <c r="G126" i="1"/>
  <c r="C125" i="1"/>
  <c r="D125" i="1"/>
  <c r="E125" i="1"/>
  <c r="F125" i="1"/>
  <c r="G125" i="1"/>
  <c r="C118" i="1"/>
  <c r="D118" i="1"/>
  <c r="I118" i="1"/>
  <c r="J118" i="1"/>
  <c r="K118" i="1"/>
  <c r="C117" i="1"/>
  <c r="D117" i="1"/>
  <c r="E117" i="1"/>
  <c r="F117" i="1"/>
  <c r="G117" i="1"/>
  <c r="C114" i="1"/>
  <c r="D114" i="1"/>
  <c r="E114" i="1"/>
  <c r="F114" i="1"/>
  <c r="G114" i="1"/>
  <c r="H114" i="1"/>
  <c r="I114" i="1"/>
  <c r="J114" i="1"/>
  <c r="K114" i="1"/>
  <c r="C113" i="1"/>
  <c r="D113" i="1"/>
  <c r="E113" i="1"/>
  <c r="F113" i="1"/>
  <c r="G113" i="1"/>
  <c r="H113" i="1"/>
  <c r="I113" i="1"/>
  <c r="J113" i="1"/>
  <c r="K113" i="1"/>
  <c r="C112" i="1"/>
  <c r="D112" i="1"/>
  <c r="E112" i="1"/>
  <c r="F112" i="1"/>
  <c r="G112" i="1"/>
  <c r="H112" i="1"/>
  <c r="I112" i="1"/>
  <c r="J112" i="1"/>
  <c r="K112" i="1"/>
  <c r="C111" i="1"/>
  <c r="D111" i="1"/>
  <c r="E111" i="1"/>
  <c r="F111" i="1"/>
  <c r="G111" i="1"/>
  <c r="H111" i="1"/>
  <c r="I111" i="1"/>
  <c r="J111" i="1"/>
  <c r="K111" i="1"/>
  <c r="C110" i="1"/>
  <c r="D110" i="1"/>
  <c r="E110" i="1"/>
  <c r="F110" i="1"/>
  <c r="G110" i="1"/>
  <c r="H110" i="1"/>
  <c r="I110" i="1"/>
  <c r="J110" i="1"/>
  <c r="K110" i="1"/>
  <c r="C104" i="1"/>
  <c r="D104" i="1"/>
  <c r="E104" i="1"/>
  <c r="F104" i="1"/>
  <c r="G104" i="1"/>
  <c r="C103" i="1"/>
  <c r="D103" i="1"/>
  <c r="E103" i="1"/>
  <c r="F103" i="1"/>
  <c r="G103" i="1"/>
  <c r="J103" i="1"/>
  <c r="D101" i="1"/>
  <c r="C100" i="1"/>
  <c r="D100" i="1"/>
  <c r="E100" i="1"/>
  <c r="F100" i="1"/>
  <c r="G100" i="1"/>
  <c r="C99" i="1"/>
  <c r="D99" i="1"/>
  <c r="E99" i="1"/>
  <c r="F99" i="1"/>
  <c r="G99" i="1"/>
  <c r="I99" i="1"/>
  <c r="J99" i="1"/>
  <c r="C98" i="1"/>
  <c r="D98" i="1"/>
  <c r="E98" i="1"/>
  <c r="F98" i="1"/>
  <c r="G98" i="1"/>
  <c r="J98" i="1"/>
  <c r="K98" i="1"/>
  <c r="C97" i="1"/>
  <c r="D97" i="1"/>
  <c r="E97" i="1"/>
  <c r="F97" i="1"/>
  <c r="G97" i="1"/>
  <c r="J97" i="1"/>
  <c r="K97" i="1"/>
  <c r="C96" i="1"/>
  <c r="D96" i="1"/>
  <c r="E96" i="1"/>
  <c r="F96" i="1"/>
  <c r="G96" i="1"/>
  <c r="C91" i="1"/>
  <c r="D91" i="1"/>
  <c r="E91" i="1"/>
  <c r="F91" i="1"/>
  <c r="G91" i="1"/>
  <c r="H91" i="1"/>
  <c r="I91" i="1"/>
  <c r="J91" i="1"/>
  <c r="F90" i="1"/>
  <c r="G90" i="1"/>
  <c r="J90" i="1"/>
  <c r="K90" i="1"/>
  <c r="E88" i="1"/>
  <c r="F88" i="1"/>
  <c r="G88" i="1"/>
  <c r="C87" i="1"/>
  <c r="D87" i="1"/>
  <c r="E87" i="1"/>
  <c r="F87" i="1"/>
  <c r="G87" i="1"/>
  <c r="J87" i="1"/>
  <c r="C86" i="1"/>
  <c r="D86" i="1"/>
  <c r="E86" i="1"/>
  <c r="F86" i="1"/>
  <c r="G86" i="1"/>
  <c r="J86" i="1"/>
  <c r="K86" i="1"/>
  <c r="C85" i="1"/>
  <c r="D85" i="1"/>
  <c r="E85" i="1"/>
  <c r="F85" i="1"/>
  <c r="G85" i="1"/>
  <c r="J85" i="1"/>
  <c r="K85" i="1"/>
  <c r="C84" i="1"/>
  <c r="D84" i="1"/>
  <c r="E84" i="1"/>
  <c r="F84" i="1"/>
  <c r="G84" i="1"/>
  <c r="C83" i="1"/>
  <c r="D83" i="1"/>
  <c r="E83" i="1"/>
  <c r="F83" i="1"/>
  <c r="G83" i="1"/>
  <c r="I83" i="1"/>
  <c r="J83" i="1"/>
  <c r="F78" i="1"/>
  <c r="G78" i="1"/>
  <c r="J78" i="1"/>
  <c r="K78" i="1"/>
  <c r="C77" i="1"/>
  <c r="D77" i="1"/>
  <c r="J77" i="1"/>
  <c r="K77" i="1"/>
  <c r="F76" i="1"/>
  <c r="G76" i="1"/>
  <c r="G75" i="1"/>
  <c r="H75" i="1"/>
  <c r="C74" i="1"/>
  <c r="D74" i="1"/>
  <c r="E74" i="1"/>
  <c r="F74" i="1"/>
  <c r="G74" i="1"/>
  <c r="J74" i="1"/>
  <c r="K74" i="1"/>
  <c r="C73" i="1"/>
  <c r="D73" i="1"/>
  <c r="E73" i="1"/>
  <c r="F73" i="1"/>
  <c r="G73" i="1"/>
  <c r="J73" i="1"/>
  <c r="K73" i="1"/>
  <c r="C72" i="1"/>
  <c r="D72" i="1"/>
  <c r="E72" i="1"/>
  <c r="F72" i="1"/>
  <c r="G72" i="1"/>
  <c r="C71" i="1"/>
  <c r="D71" i="1"/>
  <c r="E71" i="1"/>
  <c r="F71" i="1"/>
  <c r="G71" i="1"/>
  <c r="J71" i="1"/>
  <c r="C70" i="1"/>
  <c r="D70" i="1"/>
  <c r="E70" i="1"/>
  <c r="F70" i="1"/>
  <c r="G70" i="1"/>
  <c r="J70" i="1"/>
  <c r="K70" i="1"/>
  <c r="C65" i="1"/>
  <c r="D65" i="1"/>
  <c r="J65" i="1"/>
  <c r="K65" i="1"/>
  <c r="C64" i="1"/>
  <c r="D64" i="1"/>
  <c r="E64" i="1"/>
  <c r="F64" i="1"/>
  <c r="G64" i="1"/>
  <c r="G63" i="1"/>
  <c r="H63" i="1"/>
  <c r="I63" i="1"/>
  <c r="C61" i="1"/>
  <c r="D61" i="1"/>
  <c r="E61" i="1"/>
  <c r="F61" i="1"/>
  <c r="G61" i="1"/>
  <c r="J61" i="1"/>
  <c r="K61" i="1"/>
  <c r="C60" i="1"/>
  <c r="D60" i="1"/>
  <c r="E60" i="1"/>
  <c r="F60" i="1"/>
  <c r="G60" i="1"/>
  <c r="C59" i="1"/>
  <c r="D59" i="1"/>
  <c r="E59" i="1"/>
  <c r="F59" i="1"/>
  <c r="G59" i="1"/>
  <c r="H59" i="1"/>
  <c r="I59" i="1"/>
  <c r="J59" i="1"/>
  <c r="C58" i="1"/>
  <c r="D58" i="1"/>
  <c r="E58" i="1"/>
  <c r="F58" i="1"/>
  <c r="G58" i="1"/>
  <c r="J58" i="1"/>
  <c r="K58" i="1"/>
  <c r="C57" i="1"/>
  <c r="D57" i="1"/>
  <c r="E57" i="1"/>
  <c r="F57" i="1"/>
  <c r="G57" i="1"/>
  <c r="J57" i="1"/>
  <c r="K57" i="1"/>
  <c r="C52" i="1"/>
  <c r="D52" i="1"/>
  <c r="E52" i="1"/>
  <c r="F52" i="1"/>
  <c r="G52" i="1"/>
  <c r="C51" i="1"/>
  <c r="D51" i="1"/>
  <c r="E51" i="1"/>
  <c r="F51" i="1"/>
  <c r="G51" i="1"/>
  <c r="H51" i="1"/>
  <c r="J51" i="1"/>
  <c r="C48" i="1"/>
  <c r="D48" i="1"/>
  <c r="E48" i="1"/>
  <c r="F48" i="1"/>
  <c r="G48" i="1"/>
  <c r="C47" i="1"/>
  <c r="D47" i="1"/>
  <c r="E47" i="1"/>
  <c r="F47" i="1"/>
  <c r="G47" i="1"/>
  <c r="J47" i="1"/>
  <c r="C46" i="1"/>
  <c r="D46" i="1"/>
  <c r="E46" i="1"/>
  <c r="F46" i="1"/>
  <c r="G46" i="1"/>
  <c r="J46" i="1"/>
  <c r="K46" i="1"/>
  <c r="C45" i="1"/>
  <c r="D45" i="1"/>
  <c r="E45" i="1"/>
  <c r="F45" i="1"/>
  <c r="G45" i="1"/>
  <c r="J45" i="1"/>
  <c r="K45" i="1"/>
  <c r="C44" i="1"/>
  <c r="D44" i="1"/>
  <c r="E44" i="1"/>
  <c r="F44" i="1"/>
  <c r="G44" i="1"/>
  <c r="C39" i="1"/>
  <c r="D39" i="1"/>
  <c r="E39" i="1"/>
  <c r="F39" i="1"/>
  <c r="G39" i="1"/>
  <c r="I39" i="1"/>
  <c r="J39" i="1"/>
  <c r="F38" i="1"/>
  <c r="G38" i="1"/>
  <c r="J38" i="1"/>
  <c r="K38" i="1"/>
  <c r="D36" i="1"/>
  <c r="F36" i="1"/>
  <c r="G36" i="1"/>
  <c r="C35" i="1"/>
  <c r="D35" i="1"/>
  <c r="E35" i="1"/>
  <c r="F35" i="1"/>
  <c r="G35" i="1"/>
  <c r="J35" i="1"/>
  <c r="C34" i="1"/>
  <c r="D34" i="1"/>
  <c r="E34" i="1"/>
  <c r="F34" i="1"/>
  <c r="G34" i="1"/>
  <c r="I34" i="1"/>
  <c r="J34" i="1"/>
  <c r="K34" i="1"/>
  <c r="C33" i="1"/>
  <c r="D33" i="1"/>
  <c r="E33" i="1"/>
  <c r="F33" i="1"/>
  <c r="G33" i="1"/>
  <c r="J33" i="1"/>
  <c r="K33" i="1"/>
  <c r="C32" i="1"/>
  <c r="D32" i="1"/>
  <c r="E32" i="1"/>
  <c r="F32" i="1"/>
  <c r="G32" i="1"/>
  <c r="C31" i="1"/>
  <c r="D31" i="1"/>
  <c r="E31" i="1"/>
  <c r="F31" i="1"/>
  <c r="G31" i="1"/>
  <c r="I31" i="1"/>
  <c r="J31" i="1"/>
  <c r="C26" i="1"/>
  <c r="F26" i="1"/>
  <c r="G26" i="1"/>
  <c r="J26" i="1"/>
  <c r="K26" i="1"/>
  <c r="C25" i="1"/>
  <c r="D25" i="1"/>
  <c r="J25" i="1"/>
  <c r="K25" i="1"/>
  <c r="C24" i="1"/>
  <c r="D24" i="1"/>
  <c r="E24" i="1"/>
  <c r="F24" i="1"/>
  <c r="C22" i="1"/>
  <c r="D22" i="1"/>
  <c r="E22" i="1"/>
  <c r="F22" i="1"/>
  <c r="G22" i="1"/>
  <c r="I22" i="1"/>
  <c r="J22" i="1"/>
  <c r="K22" i="1"/>
  <c r="C21" i="1"/>
  <c r="D21" i="1"/>
  <c r="E21" i="1"/>
  <c r="F21" i="1"/>
  <c r="G21" i="1"/>
  <c r="J21" i="1"/>
  <c r="K21" i="1"/>
  <c r="C20" i="1"/>
  <c r="D20" i="1"/>
  <c r="E20" i="1"/>
  <c r="F20" i="1"/>
  <c r="G20" i="1"/>
  <c r="C19" i="1"/>
  <c r="D19" i="1"/>
  <c r="E19" i="1"/>
  <c r="F19" i="1"/>
  <c r="G19" i="1"/>
  <c r="I19" i="1"/>
  <c r="J19" i="1"/>
  <c r="C18" i="1"/>
  <c r="D18" i="1"/>
  <c r="E18" i="1"/>
  <c r="F18" i="1"/>
  <c r="G18" i="1"/>
  <c r="J18" i="1"/>
  <c r="K18" i="1"/>
  <c r="C11" i="1"/>
  <c r="C170" i="1" s="1"/>
  <c r="C10" i="1"/>
  <c r="D143" i="1" s="1"/>
  <c r="C13" i="1"/>
  <c r="C185" i="1" s="1"/>
  <c r="C12" i="1"/>
  <c r="D158" i="1" s="1"/>
  <c r="G24" i="1" l="1"/>
  <c r="I38" i="1"/>
  <c r="I51" i="1"/>
  <c r="J63" i="1"/>
  <c r="I75" i="1"/>
  <c r="C131" i="1"/>
  <c r="F157" i="1"/>
  <c r="C169" i="1"/>
  <c r="F156" i="1"/>
  <c r="C115" i="1"/>
  <c r="F101" i="1"/>
  <c r="I88" i="1"/>
  <c r="C62" i="1"/>
  <c r="F49" i="1"/>
  <c r="I36" i="1"/>
  <c r="F115" i="1"/>
  <c r="I101" i="1"/>
  <c r="C75" i="1"/>
  <c r="F62" i="1"/>
  <c r="I49" i="1"/>
  <c r="C23" i="1"/>
  <c r="E182" i="1"/>
  <c r="E130" i="1"/>
  <c r="H74" i="1"/>
  <c r="H70" i="1"/>
  <c r="K49" i="1"/>
  <c r="H26" i="1"/>
  <c r="H18" i="1"/>
  <c r="F182" i="1"/>
  <c r="C143" i="1"/>
  <c r="D169" i="1"/>
  <c r="G156" i="1"/>
  <c r="D115" i="1"/>
  <c r="G101" i="1"/>
  <c r="J88" i="1"/>
  <c r="D62" i="1"/>
  <c r="G49" i="1"/>
  <c r="J36" i="1"/>
  <c r="F169" i="1"/>
  <c r="G115" i="1"/>
  <c r="J101" i="1"/>
  <c r="G62" i="1"/>
  <c r="J49" i="1"/>
  <c r="D23" i="1"/>
  <c r="H62" i="1"/>
  <c r="H46" i="1"/>
  <c r="E169" i="1"/>
  <c r="E115" i="1"/>
  <c r="H101" i="1"/>
  <c r="H97" i="1"/>
  <c r="K88" i="1"/>
  <c r="H85" i="1"/>
  <c r="H73" i="1"/>
  <c r="E62" i="1"/>
  <c r="H61" i="1"/>
  <c r="H57" i="1"/>
  <c r="H49" i="1"/>
  <c r="H45" i="1"/>
  <c r="K36" i="1"/>
  <c r="H33" i="1"/>
  <c r="H21" i="1"/>
  <c r="C182" i="1"/>
  <c r="C130" i="1"/>
  <c r="G169" i="1"/>
  <c r="D130" i="1"/>
  <c r="D75" i="1"/>
  <c r="K101" i="1"/>
  <c r="H34" i="1"/>
  <c r="E23" i="1"/>
  <c r="H22" i="1"/>
  <c r="D182" i="1"/>
  <c r="C156" i="1"/>
  <c r="E156" i="1"/>
  <c r="E101" i="1"/>
  <c r="H100" i="1"/>
  <c r="H96" i="1"/>
  <c r="H88" i="1"/>
  <c r="H84" i="1"/>
  <c r="K75" i="1"/>
  <c r="H72" i="1"/>
  <c r="H60" i="1"/>
  <c r="E49" i="1"/>
  <c r="H48" i="1"/>
  <c r="H44" i="1"/>
  <c r="H36" i="1"/>
  <c r="H32" i="1"/>
  <c r="K23" i="1"/>
  <c r="H20" i="1"/>
  <c r="H115" i="1"/>
  <c r="H98" i="1"/>
  <c r="H90" i="1"/>
  <c r="H86" i="1"/>
  <c r="H78" i="1"/>
  <c r="E75" i="1"/>
  <c r="H58" i="1"/>
  <c r="H38" i="1"/>
  <c r="F130" i="1"/>
  <c r="I115" i="1"/>
  <c r="C88" i="1"/>
  <c r="F75" i="1"/>
  <c r="I62" i="1"/>
  <c r="H19" i="1"/>
  <c r="H31" i="1"/>
  <c r="E36" i="1"/>
  <c r="H39" i="1"/>
  <c r="E76" i="1"/>
  <c r="H83" i="1"/>
  <c r="D88" i="1"/>
  <c r="H99" i="1"/>
  <c r="C101" i="1"/>
  <c r="D89" i="1"/>
  <c r="K102" i="1"/>
  <c r="K115" i="1"/>
  <c r="G182" i="1"/>
  <c r="D76" i="1"/>
  <c r="C36" i="1"/>
  <c r="I47" i="1"/>
  <c r="D49" i="1"/>
  <c r="I87" i="1"/>
  <c r="C89" i="1"/>
  <c r="J102" i="1"/>
  <c r="J115" i="1"/>
  <c r="J23" i="1"/>
  <c r="F170" i="1"/>
  <c r="I23" i="1"/>
  <c r="D37" i="1"/>
  <c r="H47" i="1"/>
  <c r="H87" i="1"/>
  <c r="J116" i="1"/>
  <c r="I18" i="1"/>
  <c r="H23" i="1"/>
  <c r="H35" i="1"/>
  <c r="K50" i="1"/>
  <c r="I71" i="1"/>
  <c r="I103" i="1"/>
  <c r="I116" i="1"/>
  <c r="G143" i="1"/>
  <c r="D170" i="1"/>
  <c r="C49" i="1"/>
  <c r="C37" i="1"/>
  <c r="G23" i="1"/>
  <c r="J50" i="1"/>
  <c r="K62" i="1"/>
  <c r="H71" i="1"/>
  <c r="H103" i="1"/>
  <c r="H116" i="1"/>
  <c r="F143" i="1"/>
  <c r="D156" i="1"/>
  <c r="E183" i="1"/>
  <c r="E131" i="1"/>
  <c r="C102" i="1"/>
  <c r="I100" i="1"/>
  <c r="I96" i="1"/>
  <c r="F89" i="1"/>
  <c r="I84" i="1"/>
  <c r="I76" i="1"/>
  <c r="I72" i="1"/>
  <c r="I60" i="1"/>
  <c r="C50" i="1"/>
  <c r="I48" i="1"/>
  <c r="I44" i="1"/>
  <c r="E144" i="1"/>
  <c r="C116" i="1"/>
  <c r="I97" i="1"/>
  <c r="I89" i="1"/>
  <c r="I85" i="1"/>
  <c r="I73" i="1"/>
  <c r="C63" i="1"/>
  <c r="I61" i="1"/>
  <c r="I57" i="1"/>
  <c r="I45" i="1"/>
  <c r="I37" i="1"/>
  <c r="I25" i="1"/>
  <c r="I21" i="1"/>
  <c r="C157" i="1"/>
  <c r="G102" i="1"/>
  <c r="J89" i="1"/>
  <c r="G50" i="1"/>
  <c r="G144" i="1"/>
  <c r="K89" i="1"/>
  <c r="E63" i="1"/>
  <c r="F183" i="1"/>
  <c r="C144" i="1"/>
  <c r="F131" i="1"/>
  <c r="D102" i="1"/>
  <c r="G89" i="1"/>
  <c r="J76" i="1"/>
  <c r="D50" i="1"/>
  <c r="G37" i="1"/>
  <c r="J24" i="1"/>
  <c r="I77" i="1"/>
  <c r="F50" i="1"/>
  <c r="E116" i="1"/>
  <c r="K37" i="1"/>
  <c r="G183" i="1"/>
  <c r="D144" i="1"/>
  <c r="G131" i="1"/>
  <c r="E102" i="1"/>
  <c r="H89" i="1"/>
  <c r="K76" i="1"/>
  <c r="E50" i="1"/>
  <c r="H37" i="1"/>
  <c r="K24" i="1"/>
  <c r="F102" i="1"/>
  <c r="I65" i="1"/>
  <c r="I33" i="1"/>
  <c r="D63" i="1"/>
  <c r="J37" i="1"/>
  <c r="H50" i="1"/>
  <c r="E170" i="1"/>
  <c r="C183" i="1"/>
  <c r="D183" i="1"/>
  <c r="G170" i="1"/>
  <c r="D131" i="1"/>
  <c r="K116" i="1"/>
  <c r="E89" i="1"/>
  <c r="H76" i="1"/>
  <c r="K63" i="1"/>
  <c r="E37" i="1"/>
  <c r="H24" i="1"/>
  <c r="F37" i="1"/>
  <c r="I32" i="1"/>
  <c r="I24" i="1"/>
  <c r="I20" i="1"/>
  <c r="F144" i="1"/>
  <c r="D116" i="1"/>
  <c r="D157" i="1"/>
  <c r="H102" i="1"/>
  <c r="E157" i="1"/>
  <c r="F116" i="1"/>
  <c r="I102" i="1"/>
  <c r="I98" i="1"/>
  <c r="I90" i="1"/>
  <c r="I86" i="1"/>
  <c r="I78" i="1"/>
  <c r="C76" i="1"/>
  <c r="I74" i="1"/>
  <c r="I70" i="1"/>
  <c r="F63" i="1"/>
  <c r="I58" i="1"/>
  <c r="I50" i="1"/>
  <c r="I46" i="1"/>
  <c r="I35" i="1"/>
  <c r="F23" i="1"/>
  <c r="I26" i="1"/>
  <c r="J62" i="1"/>
  <c r="J75" i="1"/>
  <c r="G116" i="1"/>
  <c r="G130" i="1"/>
  <c r="E143" i="1"/>
  <c r="G157" i="1"/>
  <c r="F25" i="1"/>
  <c r="K19" i="1"/>
  <c r="E25" i="1"/>
  <c r="K31" i="1"/>
  <c r="K35" i="1"/>
  <c r="K39" i="1"/>
  <c r="K47" i="1"/>
  <c r="K51" i="1"/>
  <c r="H52" i="1"/>
  <c r="K59" i="1"/>
  <c r="H64" i="1"/>
  <c r="E65" i="1"/>
  <c r="K71" i="1"/>
  <c r="E77" i="1"/>
  <c r="K83" i="1"/>
  <c r="K87" i="1"/>
  <c r="K91" i="1"/>
  <c r="K99" i="1"/>
  <c r="K103" i="1"/>
  <c r="H104" i="1"/>
  <c r="H117" i="1"/>
  <c r="E118" i="1"/>
  <c r="F145" i="1"/>
  <c r="C158" i="1"/>
  <c r="E172" i="1"/>
  <c r="G184" i="1"/>
  <c r="G185" i="1"/>
  <c r="K20" i="1"/>
  <c r="H25" i="1"/>
  <c r="E26" i="1"/>
  <c r="K32" i="1"/>
  <c r="E38" i="1"/>
  <c r="K44" i="1"/>
  <c r="K48" i="1"/>
  <c r="K52" i="1"/>
  <c r="K60" i="1"/>
  <c r="K64" i="1"/>
  <c r="H65" i="1"/>
  <c r="K72" i="1"/>
  <c r="H77" i="1"/>
  <c r="E78" i="1"/>
  <c r="K84" i="1"/>
  <c r="E90" i="1"/>
  <c r="K96" i="1"/>
  <c r="K100" i="1"/>
  <c r="K104" i="1"/>
  <c r="K117" i="1"/>
  <c r="H118" i="1"/>
  <c r="E133" i="1"/>
  <c r="F158" i="1"/>
  <c r="C171" i="1"/>
  <c r="E185" i="1"/>
  <c r="J20" i="1"/>
  <c r="G25" i="1"/>
  <c r="D26" i="1"/>
  <c r="J32" i="1"/>
  <c r="D38" i="1"/>
  <c r="J44" i="1"/>
  <c r="J48" i="1"/>
  <c r="J52" i="1"/>
  <c r="J60" i="1"/>
  <c r="J64" i="1"/>
  <c r="G65" i="1"/>
  <c r="J72" i="1"/>
  <c r="G77" i="1"/>
  <c r="D78" i="1"/>
  <c r="J84" i="1"/>
  <c r="D90" i="1"/>
  <c r="J96" i="1"/>
  <c r="J100" i="1"/>
  <c r="J104" i="1"/>
  <c r="J117" i="1"/>
  <c r="G118" i="1"/>
  <c r="D133" i="1"/>
  <c r="E158" i="1"/>
  <c r="G172" i="1"/>
  <c r="D185" i="1"/>
  <c r="C38" i="1"/>
  <c r="I52" i="1"/>
  <c r="I64" i="1"/>
  <c r="F65" i="1"/>
  <c r="F77" i="1"/>
  <c r="C78" i="1"/>
  <c r="C90" i="1"/>
  <c r="I104" i="1"/>
  <c r="I117" i="1"/>
  <c r="F118" i="1"/>
  <c r="C133" i="1"/>
  <c r="G145" i="1"/>
  <c r="F172" i="1"/>
</calcChain>
</file>

<file path=xl/sharedStrings.xml><?xml version="1.0" encoding="utf-8"?>
<sst xmlns="http://schemas.openxmlformats.org/spreadsheetml/2006/main" count="53" uniqueCount="44">
  <si>
    <t>BASIC MATH FORMULA TEST SUITE</t>
  </si>
  <si>
    <t>Test Input Values</t>
  </si>
  <si>
    <t>Zero</t>
  </si>
  <si>
    <t>One</t>
  </si>
  <si>
    <t>Neg One</t>
  </si>
  <si>
    <t>Decimal(+)</t>
  </si>
  <si>
    <t>Decimal(-)</t>
  </si>
  <si>
    <t>Max Pos</t>
  </si>
  <si>
    <t>Max Neg</t>
  </si>
  <si>
    <t>Min Pos (1E-307)</t>
  </si>
  <si>
    <t>Min Neg (-1E-307)</t>
  </si>
  <si>
    <t>ADDITION (A + B)</t>
  </si>
  <si>
    <t>A \ B</t>
  </si>
  <si>
    <t>SUBTRACTION (A - B)</t>
  </si>
  <si>
    <t>MULTIPLICATION (A * B)</t>
  </si>
  <si>
    <t>DIVISION (A / B)</t>
  </si>
  <si>
    <t>EXPONENTIATION (A ^ B)</t>
  </si>
  <si>
    <t>MODULO - MOD(A, B)</t>
  </si>
  <si>
    <t>QUOTIENT(A, B)</t>
  </si>
  <si>
    <t>UNARY FUNCTIONS</t>
  </si>
  <si>
    <t>Input</t>
  </si>
  <si>
    <t>ABS</t>
  </si>
  <si>
    <t>SIGN</t>
  </si>
  <si>
    <t>SQRT</t>
  </si>
  <si>
    <t>INT</t>
  </si>
  <si>
    <t>TRUNC</t>
  </si>
  <si>
    <t>EXP</t>
  </si>
  <si>
    <t>LN</t>
  </si>
  <si>
    <t>LOG10</t>
  </si>
  <si>
    <t>FACT</t>
  </si>
  <si>
    <t>ROUNDING FUNCTIONS</t>
  </si>
  <si>
    <t>ROUND(Value, Decimals)</t>
  </si>
  <si>
    <t>Input \ Dec</t>
  </si>
  <si>
    <t>ROUNDUP(Value, Decimals)</t>
  </si>
  <si>
    <t>ROUNDDOWN(Value, Decimals)</t>
  </si>
  <si>
    <t>CEILING.MATH(Value, Significance)</t>
  </si>
  <si>
    <t>Input \ Sig</t>
  </si>
  <si>
    <t>FLOOR.MATH(Value, Significance)</t>
  </si>
  <si>
    <t>NOTES</t>
  </si>
  <si>
    <t>Division by zero</t>
  </si>
  <si>
    <t>Result too large/small or invalid input (e.g., SQRT of negative)</t>
  </si>
  <si>
    <t>Wrong argument type</t>
  </si>
  <si>
    <t>Inputs</t>
  </si>
  <si>
    <t>All formulas reference cells C5:C13 — change inputs there to re-test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</si>
</sst>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rgb="FF0000FF"/>
      <name val="Aptos Narrow"/>
      <scheme val="minor"/>
    </font>
    <font>
      <b/>
      <sz val="12"/>
      <color rgb="FFC0000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/>
      <right/>
      <top style="medium">
        <color rgb="FF4472C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11" fontId="5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6" fillId="2" borderId="2" xfId="0" applyFont="1" applyFill="1" applyBorder="1"/>
    <xf numFmtId="0" fontId="4" fillId="2" borderId="2" xfId="0" applyFont="1" applyFill="1" applyBorder="1" applyAlignment="1">
      <alignment horizontal="center"/>
    </xf>
    <xf numFmtId="11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/>
    <xf numFmtId="0" fontId="4" fillId="2" borderId="2" xfId="0" applyFont="1" applyFill="1" applyBorder="1"/>
    <xf numFmtId="0" fontId="4" fillId="3" borderId="0" xfId="0" applyFont="1" applyFill="1"/>
    <xf numFmtId="11" fontId="4" fillId="3" borderId="0" xfId="0" applyNumberFormat="1" applyFont="1" applyFill="1"/>
    <xf numFmtId="11" fontId="7" fillId="0" borderId="0" xfId="0" applyNumberFormat="1" applyFont="1"/>
    <xf numFmtId="0" fontId="5" fillId="3" borderId="0" xfId="0" applyFont="1" applyFill="1"/>
    <xf numFmtId="0" fontId="1" fillId="0" borderId="1" xfId="0" applyFont="1" applyBorder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EE023F-E615-7B4A-85CC-6B0EAF38BA5F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C56AAEC-1253-9C49-A6E3-6A6B13E494D3}" mc:Ignorable="x14ac xr xr2 xr3">
  <x:dimension ref="B2:K1176"/>
  <x:sheetViews>
    <x:sheetView showGridLines="0" tabSelected="1" workbookViewId="0">
      <x:selection activeCell="E202" sqref="E202"/>
    </x:sheetView>
  </x:sheetViews>
  <x:sheetFormatPr baseColWidth="10" defaultRowHeight="16" x14ac:dyDescent="0.2"/>
  <x:cols>
    <x:col min="2" max="2" width="25" customWidth="1"/>
    <x:col min="3" max="11" width="10.1640625" bestFit="1" customWidth="1"/>
  </x:cols>
  <x:sheetData>
    <x:row r="2" spans="2:11" ht="19" x14ac:dyDescent="0.25">
      <x:c r="B2" s="1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 spans="2:11" x14ac:dyDescent="0.2"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spans="2:11" ht="17" thickBot="1" x14ac:dyDescent="0.25">
      <x:c r="B4" s="5" t="s">
        <x:v>1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spans="2:11" x14ac:dyDescent="0.2">
      <x:c r="B5" s="15" t="s">
        <x:v>2</x:v>
      </x:c>
      <x:c r="C5" s="14">
        <x:v>0</x:v>
      </x:c>
      <x:c r="D5" s="3"/>
      <x:c r="E5" s="3"/>
      <x:c r="F5" s="3"/>
      <x:c r="G5" s="3"/>
      <x:c r="H5" s="3"/>
      <x:c r="I5" s="3"/>
      <x:c r="J5" s="3"/>
      <x:c r="K5" s="3"/>
    </x:row>
    <x:row r="6" spans="2:11" x14ac:dyDescent="0.2">
      <x:c r="B6" s="15" t="s">
        <x:v>3</x:v>
      </x:c>
      <x:c r="C6" s="14">
        <x:v>1</x:v>
      </x:c>
      <x:c r="D6" s="3"/>
      <x:c r="E6" s="3"/>
      <x:c r="F6" s="3"/>
      <x:c r="G6" s="3"/>
      <x:c r="H6" s="3"/>
      <x:c r="I6" s="3"/>
      <x:c r="J6" s="3"/>
      <x:c r="K6" s="3"/>
    </x:row>
    <x:row r="7" spans="2:11" x14ac:dyDescent="0.2">
      <x:c r="B7" s="15" t="s">
        <x:v>4</x:v>
      </x:c>
      <x:c r="C7" s="14">
        <x:v>-1</x:v>
      </x:c>
      <x:c r="D7" s="3"/>
      <x:c r="E7" s="3"/>
      <x:c r="F7" s="3"/>
      <x:c r="G7" s="3"/>
      <x:c r="H7" s="3"/>
      <x:c r="I7" s="3"/>
      <x:c r="J7" s="3"/>
      <x:c r="K7" s="3"/>
    </x:row>
    <x:row r="8" spans="2:11" x14ac:dyDescent="0.2">
      <x:c r="B8" s="15" t="s">
        <x:v>5</x:v>
      </x:c>
      <x:c r="C8" s="14">
        <x:v>42.5</x:v>
      </x:c>
      <x:c r="D8" s="3"/>
      <x:c r="E8" s="3"/>
      <x:c r="F8" s="3"/>
      <x:c r="G8" s="3"/>
      <x:c r="H8" s="3"/>
      <x:c r="I8" s="3"/>
      <x:c r="J8" s="3"/>
      <x:c r="K8" s="3"/>
    </x:row>
    <x:row r="9" spans="2:11" x14ac:dyDescent="0.2">
      <x:c r="B9" s="15" t="s">
        <x:v>6</x:v>
      </x:c>
      <x:c r="C9" s="14">
        <x:v>-42.5</x:v>
      </x:c>
      <x:c r="D9" s="3"/>
      <x:c r="E9" s="3"/>
      <x:c r="F9" s="3"/>
      <x:c r="G9" s="3"/>
      <x:c r="H9" s="3"/>
      <x:c r="I9" s="3"/>
      <x:c r="J9" s="3"/>
      <x:c r="K9" s="3"/>
    </x:row>
    <x:row r="10" spans="2:11" x14ac:dyDescent="0.2">
      <x:c r="B10" s="15" t="s">
        <x:v>9</x:v>
      </x:c>
      <x:c r="C10" s="14">
        <x:f>10^(-307)</x:f>
      </x:c>
      <x:c r="D10" s="3"/>
      <x:c r="E10" s="3"/>
      <x:c r="F10" s="3"/>
      <x:c r="G10" s="3"/>
      <x:c r="H10" s="3"/>
      <x:c r="I10" s="3"/>
      <x:c r="J10" s="3"/>
      <x:c r="K10" s="3"/>
    </x:row>
    <x:row r="11" spans="2:11" x14ac:dyDescent="0.2">
      <x:c r="B11" s="15" t="s">
        <x:v>10</x:v>
      </x:c>
      <x:c r="C11" s="14">
        <x:f>-10^(-307)</x:f>
      </x:c>
      <x:c r="D11" s="3"/>
      <x:c r="E11" s="3"/>
      <x:c r="F11" s="3"/>
      <x:c r="G11" s="3"/>
      <x:c r="H11" s="3"/>
      <x:c r="I11" s="3"/>
      <x:c r="J11" s="3"/>
      <x:c r="K11" s="3"/>
    </x:row>
    <x:row r="12" spans="2:11" x14ac:dyDescent="0.2">
      <x:c r="B12" s="15" t="s">
        <x:v>7</x:v>
      </x:c>
      <x:c r="C12" s="14">
        <x:f>9.99999999999999E+307</x:f>
      </x:c>
      <x:c r="D12" s="3"/>
      <x:c r="E12" s="3"/>
      <x:c r="F12" s="3"/>
      <x:c r="G12" s="3"/>
      <x:c r="H12" s="3"/>
      <x:c r="I12" s="3"/>
      <x:c r="J12" s="3"/>
      <x:c r="K12" s="3"/>
    </x:row>
    <x:row r="13" spans="2:11" x14ac:dyDescent="0.2">
      <x:c r="B13" s="15" t="s">
        <x:v>8</x:v>
      </x:c>
      <x:c r="C13" s="14">
        <x:f>-9.99999999999999E+307</x:f>
      </x:c>
      <x:c r="D13" s="3"/>
      <x:c r="E13" s="3"/>
      <x:c r="F13" s="3"/>
      <x:c r="G13" s="3"/>
      <x:c r="H13" s="3"/>
      <x:c r="I13" s="3"/>
      <x:c r="J13" s="3"/>
      <x:c r="K13" s="3"/>
    </x:row>
    <x:row r="14" spans="2:11" x14ac:dyDescent="0.2"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spans="2:11" x14ac:dyDescent="0.2"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spans="2:11" ht="17" thickBot="1" x14ac:dyDescent="0.25">
      <x:c r="B16" s="6" t="s">
        <x:v>11</x:v>
      </x:c>
      <x:c r="C16" s="6"/>
      <x:c r="D16" s="6"/>
      <x:c r="E16" s="6"/>
      <x:c r="F16" s="6"/>
      <x:c r="G16" s="6"/>
      <x:c r="H16" s="6"/>
      <x:c r="I16" s="6"/>
      <x:c r="J16" s="6"/>
      <x:c r="K16" s="6"/>
    </x:row>
    <x:row r="17" spans="2:11" x14ac:dyDescent="0.2">
      <x:c r="B17" s="7" t="s">
        <x:v>12</x:v>
      </x:c>
      <x:c r="C17" s="8">
        <x:v>0</x:v>
      </x:c>
      <x:c r="D17" s="8">
        <x:v>1</x:v>
      </x:c>
      <x:c r="E17" s="8">
        <x:v>-1</x:v>
      </x:c>
      <x:c r="F17" s="8">
        <x:v>42.5</x:v>
      </x:c>
      <x:c r="G17" s="8">
        <x:v>-42.5</x:v>
      </x:c>
      <x:c r="H17" s="9">
        <x:v>9.9999999999999991E-308</x:v>
      </x:c>
      <x:c r="I17" s="9">
        <x:v>-9.9999999999999991E-308</x:v>
      </x:c>
      <x:c r="J17" s="9">
        <x:v>9.990000000000001E+307</x:v>
      </x:c>
      <x:c r="K17" s="9">
        <x:v>-9.990000000000001E+307</x:v>
      </x:c>
    </x:row>
    <x:row r="18" spans="2:11" x14ac:dyDescent="0.2">
      <x:c r="B18" s="12">
        <x:v>0</x:v>
      </x:c>
      <x:c r="C18" s="4">
        <x:f>$C$5+$C$5</x:f>
      </x:c>
      <x:c r="D18" s="4">
        <x:f>$C$5+$C$6</x:f>
      </x:c>
      <x:c r="E18" s="4">
        <x:f>$C$5+$C$7</x:f>
      </x:c>
      <x:c r="F18" s="4">
        <x:f>$C$5+$C$8</x:f>
      </x:c>
      <x:c r="G18" s="4">
        <x:f>$C$5+$C$9</x:f>
      </x:c>
      <x:c r="H18" s="4">
        <x:f>$C$5+$C$10</x:f>
      </x:c>
      <x:c r="I18" s="4">
        <x:f>$C$5+$C$11</x:f>
      </x:c>
      <x:c r="J18" s="4">
        <x:f>$C$5+$C$12</x:f>
      </x:c>
      <x:c r="K18" s="4">
        <x:f>$C$5+$C$13</x:f>
      </x:c>
    </x:row>
    <x:row r="19" spans="2:11" x14ac:dyDescent="0.2">
      <x:c r="B19" s="12">
        <x:v>1</x:v>
      </x:c>
      <x:c r="C19" s="4">
        <x:f>$C$6+$C$5</x:f>
      </x:c>
      <x:c r="D19" s="4">
        <x:f>$C$6+$C$6</x:f>
      </x:c>
      <x:c r="E19" s="4">
        <x:f>$C$6+$C$7</x:f>
      </x:c>
      <x:c r="F19" s="4">
        <x:f>$C$6+$C$8</x:f>
      </x:c>
      <x:c r="G19" s="4">
        <x:f>$C$6+$C$9</x:f>
      </x:c>
      <x:c r="H19" s="4">
        <x:f>$C$6+$C$10</x:f>
      </x:c>
      <x:c r="I19" s="4">
        <x:f>$C$6+$C$11</x:f>
      </x:c>
      <x:c r="J19" s="4">
        <x:f>$C$6+$C$12</x:f>
      </x:c>
      <x:c r="K19" s="4">
        <x:f>$C$6+$C$13</x:f>
      </x:c>
    </x:row>
    <x:row r="20" spans="2:11" x14ac:dyDescent="0.2">
      <x:c r="B20" s="12">
        <x:v>-1</x:v>
      </x:c>
      <x:c r="C20" s="4">
        <x:f>$C$7+$C$5</x:f>
      </x:c>
      <x:c r="D20" s="4">
        <x:f>$C$7+$C$6</x:f>
      </x:c>
      <x:c r="E20" s="4">
        <x:f>$C$7+$C$7</x:f>
      </x:c>
      <x:c r="F20" s="4">
        <x:f>$C$7+$C$8</x:f>
      </x:c>
      <x:c r="G20" s="4">
        <x:f>$C$7+$C$9</x:f>
      </x:c>
      <x:c r="H20" s="4">
        <x:f>$C$7+$C$10</x:f>
      </x:c>
      <x:c r="I20" s="4">
        <x:f>$C$7+$C$11</x:f>
      </x:c>
      <x:c r="J20" s="4">
        <x:f>$C$7+$C$12</x:f>
      </x:c>
      <x:c r="K20" s="4">
        <x:f>$C$7+$C$13</x:f>
      </x:c>
    </x:row>
    <x:row r="21" spans="2:11" x14ac:dyDescent="0.2">
      <x:c r="B21" s="12">
        <x:v>42.5</x:v>
      </x:c>
      <x:c r="C21" s="4">
        <x:f>$C$8+$C$5</x:f>
      </x:c>
      <x:c r="D21" s="4">
        <x:f>$C$8+$C$6</x:f>
      </x:c>
      <x:c r="E21" s="4">
        <x:f>$C$8+$C$7</x:f>
      </x:c>
      <x:c r="F21" s="4">
        <x:f>$C$8+$C$8</x:f>
      </x:c>
      <x:c r="G21" s="4">
        <x:f>$C$8+$C$9</x:f>
      </x:c>
      <x:c r="H21" s="4">
        <x:f>$C$8+$C$10</x:f>
      </x:c>
      <x:c r="I21" s="4">
        <x:f>$C$8+$C$11</x:f>
      </x:c>
      <x:c r="J21" s="4">
        <x:f>$C$8+$C$12</x:f>
      </x:c>
      <x:c r="K21" s="4">
        <x:f>$C$8+$C$13</x:f>
      </x:c>
    </x:row>
    <x:row r="22" spans="2:11" x14ac:dyDescent="0.2">
      <x:c r="B22" s="12">
        <x:v>-42.5</x:v>
      </x:c>
      <x:c r="C22" s="4">
        <x:f>$C$9+$C$5</x:f>
      </x:c>
      <x:c r="D22" s="4">
        <x:f>$C$9+$C$6</x:f>
      </x:c>
      <x:c r="E22" s="4">
        <x:f>$C$9+$C$7</x:f>
      </x:c>
      <x:c r="F22" s="4">
        <x:f>$C$9+$C$8</x:f>
      </x:c>
      <x:c r="G22" s="4">
        <x:f>$C$9+$C$9</x:f>
      </x:c>
      <x:c r="H22" s="4">
        <x:f>$C$9+$C$10</x:f>
      </x:c>
      <x:c r="I22" s="4">
        <x:f>$C$9+$C$11</x:f>
      </x:c>
      <x:c r="J22" s="4">
        <x:f>$C$9+$C$12</x:f>
      </x:c>
      <x:c r="K22" s="4">
        <x:f>$C$9+$C$13</x:f>
      </x:c>
    </x:row>
    <x:row r="23" spans="2:11" x14ac:dyDescent="0.2">
      <x:c r="B23" s="13">
        <x:v>9.9999999999999991E-308</x:v>
      </x:c>
      <x:c r="C23" s="4">
        <x:f>$C$10+$C$5</x:f>
      </x:c>
      <x:c r="D23" s="4">
        <x:f>$C$10+$C$6</x:f>
      </x:c>
      <x:c r="E23" s="4">
        <x:f>$C$10+$C$7</x:f>
      </x:c>
      <x:c r="F23" s="4">
        <x:f>$C$10+$C$8</x:f>
      </x:c>
      <x:c r="G23" s="4">
        <x:f>$C$10+$C$9</x:f>
      </x:c>
      <x:c r="H23" s="4">
        <x:f>$C$10+$C$10</x:f>
      </x:c>
      <x:c r="I23" s="4">
        <x:f>$C$10+$C$11</x:f>
      </x:c>
      <x:c r="J23" s="4">
        <x:f>$C$10+$C$12</x:f>
      </x:c>
      <x:c r="K23" s="4">
        <x:f>$C$10+$C$13</x:f>
      </x:c>
    </x:row>
    <x:row r="24" spans="2:11" x14ac:dyDescent="0.2">
      <x:c r="B24" s="13">
        <x:v>-9.9999999999999991E-308</x:v>
      </x:c>
      <x:c r="C24" s="4">
        <x:f>$C$11+$C$5</x:f>
      </x:c>
      <x:c r="D24" s="4">
        <x:f>$C$11+$C$6</x:f>
      </x:c>
      <x:c r="E24" s="4">
        <x:f>$C$11+$C$7</x:f>
      </x:c>
      <x:c r="F24" s="4">
        <x:f>$C$11+$C$8</x:f>
      </x:c>
      <x:c r="G24" s="4">
        <x:f>$C$11+$C$9</x:f>
      </x:c>
      <x:c r="H24" s="4">
        <x:f>$C$11+$C$10</x:f>
      </x:c>
      <x:c r="I24" s="4">
        <x:f>$C$11+$C$11</x:f>
      </x:c>
      <x:c r="J24" s="4">
        <x:f>$C$11+$C$12</x:f>
      </x:c>
      <x:c r="K24" s="4">
        <x:f>$C$11+$C$13</x:f>
      </x:c>
    </x:row>
    <x:row r="25" spans="2:11" x14ac:dyDescent="0.2">
      <x:c r="B25" s="13">
        <x:v>9.990000000000001E+307</x:v>
      </x:c>
      <x:c r="C25" s="4">
        <x:f>$C$12+$C$5</x:f>
      </x:c>
      <x:c r="D25" s="4">
        <x:f>$C$12+$C$6</x:f>
      </x:c>
      <x:c r="E25" s="4">
        <x:f>$C$12+$C$7</x:f>
      </x:c>
      <x:c r="F25" s="4">
        <x:f>$C$12+$C$8</x:f>
      </x:c>
      <x:c r="G25" s="4">
        <x:f>$C$12+$C$9</x:f>
      </x:c>
      <x:c r="H25" s="4">
        <x:f>$C$12+$C$10</x:f>
      </x:c>
      <x:c r="I25" s="4">
        <x:f>$C$12+$C$11</x:f>
      </x:c>
      <x:c r="J25" s="4">
        <x:f>$C$12+$C$12</x:f>
      </x:c>
      <x:c r="K25" s="4">
        <x:f>$C$12+$C$13</x:f>
      </x:c>
    </x:row>
    <x:row r="26" spans="2:11" x14ac:dyDescent="0.2">
      <x:c r="B26" s="13">
        <x:v>-9.990000000000001E+307</x:v>
      </x:c>
      <x:c r="C26" s="4">
        <x:f>$C$13+$C$5</x:f>
      </x:c>
      <x:c r="D26" s="4">
        <x:f>$C$13+$C$6</x:f>
      </x:c>
      <x:c r="E26" s="4">
        <x:f>$C$13+$C$7</x:f>
      </x:c>
      <x:c r="F26" s="4">
        <x:f>$C$13+$C$8</x:f>
      </x:c>
      <x:c r="G26" s="4">
        <x:f>$C$13+$C$9</x:f>
      </x:c>
      <x:c r="H26" s="4">
        <x:f>$C$13+$C$10</x:f>
      </x:c>
      <x:c r="I26" s="4">
        <x:f>$C$13+$C$11</x:f>
      </x:c>
      <x:c r="J26" s="4">
        <x:f>$C$13+$C$12</x:f>
      </x:c>
      <x:c r="K26" s="4">
        <x:f>$C$13+$C$13</x:f>
      </x:c>
    </x:row>
    <x:row r="27" spans="2:11" x14ac:dyDescent="0.2"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spans="2:11" x14ac:dyDescent="0.2"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spans="2:11" ht="17" thickBot="1" x14ac:dyDescent="0.25">
      <x:c r="B29" s="6" t="s">
        <x:v>13</x:v>
      </x:c>
      <x:c r="C29" s="6"/>
      <x:c r="D29" s="6"/>
      <x:c r="E29" s="6"/>
      <x:c r="F29" s="6"/>
      <x:c r="G29" s="6"/>
      <x:c r="H29" s="6"/>
      <x:c r="I29" s="6"/>
      <x:c r="J29" s="6"/>
      <x:c r="K29" s="6"/>
    </x:row>
    <x:row r="30" spans="2:11" x14ac:dyDescent="0.2">
      <x:c r="B30" s="7" t="s">
        <x:v>12</x:v>
      </x:c>
      <x:c r="C30" s="8">
        <x:v>0</x:v>
      </x:c>
      <x:c r="D30" s="8">
        <x:v>1</x:v>
      </x:c>
      <x:c r="E30" s="8">
        <x:v>-1</x:v>
      </x:c>
      <x:c r="F30" s="8">
        <x:v>42.5</x:v>
      </x:c>
      <x:c r="G30" s="8">
        <x:v>-42.5</x:v>
      </x:c>
      <x:c r="H30" s="9">
        <x:v>9.9999999999999991E-308</x:v>
      </x:c>
      <x:c r="I30" s="9">
        <x:v>-9.9999999999999991E-308</x:v>
      </x:c>
      <x:c r="J30" s="9">
        <x:v>9.990000000000001E+307</x:v>
      </x:c>
      <x:c r="K30" s="9">
        <x:v>-9.990000000000001E+307</x:v>
      </x:c>
    </x:row>
    <x:row r="31" spans="2:11" x14ac:dyDescent="0.2">
      <x:c r="B31" s="12">
        <x:v>0</x:v>
      </x:c>
      <x:c r="C31" s="4">
        <x:f>$C$5-$C$5</x:f>
      </x:c>
      <x:c r="D31" s="4">
        <x:f>$C$5-$C$6</x:f>
      </x:c>
      <x:c r="E31" s="4">
        <x:f>$C$5-$C$7</x:f>
      </x:c>
      <x:c r="F31" s="4">
        <x:f>$C$5-$C$8</x:f>
      </x:c>
      <x:c r="G31" s="4">
        <x:f>$C$5-$C$9</x:f>
      </x:c>
      <x:c r="H31" s="4">
        <x:f>$C$5-$C$10</x:f>
      </x:c>
      <x:c r="I31" s="4">
        <x:f>$C$5-$C$11</x:f>
      </x:c>
      <x:c r="J31" s="4">
        <x:f>$C$5-$C$12</x:f>
      </x:c>
      <x:c r="K31" s="4">
        <x:f>$C$5-$C$13</x:f>
      </x:c>
    </x:row>
    <x:row r="32" spans="2:11" x14ac:dyDescent="0.2">
      <x:c r="B32" s="12">
        <x:v>1</x:v>
      </x:c>
      <x:c r="C32" s="4">
        <x:f>$C$6-$C$5</x:f>
      </x:c>
      <x:c r="D32" s="4">
        <x:f>$C$6-$C$6</x:f>
      </x:c>
      <x:c r="E32" s="4">
        <x:f>$C$6-$C$7</x:f>
      </x:c>
      <x:c r="F32" s="4">
        <x:f>$C$6-$C$8</x:f>
      </x:c>
      <x:c r="G32" s="4">
        <x:f>$C$6-$C$9</x:f>
      </x:c>
      <x:c r="H32" s="4">
        <x:f>$C$6-$C$10</x:f>
      </x:c>
      <x:c r="I32" s="4">
        <x:f>$C$6-$C$11</x:f>
      </x:c>
      <x:c r="J32" s="4">
        <x:f>$C$6-$C$12</x:f>
      </x:c>
      <x:c r="K32" s="4">
        <x:f>$C$6-$C$13</x:f>
      </x:c>
    </x:row>
    <x:row r="33" spans="2:11" x14ac:dyDescent="0.2">
      <x:c r="B33" s="12">
        <x:v>-1</x:v>
      </x:c>
      <x:c r="C33" s="4">
        <x:f>$C$7-$C$5</x:f>
      </x:c>
      <x:c r="D33" s="4">
        <x:f>$C$7-$C$6</x:f>
      </x:c>
      <x:c r="E33" s="4">
        <x:f>$C$7-$C$7</x:f>
      </x:c>
      <x:c r="F33" s="4">
        <x:f>$C$7-$C$8</x:f>
      </x:c>
      <x:c r="G33" s="4">
        <x:f>$C$7-$C$9</x:f>
      </x:c>
      <x:c r="H33" s="4">
        <x:f>$C$7-$C$10</x:f>
      </x:c>
      <x:c r="I33" s="4">
        <x:f>$C$7-$C$11</x:f>
      </x:c>
      <x:c r="J33" s="4">
        <x:f>$C$7-$C$12</x:f>
      </x:c>
      <x:c r="K33" s="4">
        <x:f>$C$7-$C$13</x:f>
      </x:c>
    </x:row>
    <x:row r="34" spans="2:11" x14ac:dyDescent="0.2">
      <x:c r="B34" s="12">
        <x:v>42.5</x:v>
      </x:c>
      <x:c r="C34" s="4">
        <x:f>$C$8-$C$5</x:f>
      </x:c>
      <x:c r="D34" s="4">
        <x:f>$C$8-$C$6</x:f>
      </x:c>
      <x:c r="E34" s="4">
        <x:f>$C$8-$C$7</x:f>
      </x:c>
      <x:c r="F34" s="4">
        <x:f>$C$8-$C$8</x:f>
      </x:c>
      <x:c r="G34" s="4">
        <x:f>$C$8-$C$9</x:f>
      </x:c>
      <x:c r="H34" s="4">
        <x:f>$C$8-$C$10</x:f>
      </x:c>
      <x:c r="I34" s="4">
        <x:f>$C$8-$C$11</x:f>
      </x:c>
      <x:c r="J34" s="4">
        <x:f>$C$8-$C$12</x:f>
      </x:c>
      <x:c r="K34" s="4">
        <x:f>$C$8-$C$13</x:f>
      </x:c>
    </x:row>
    <x:row r="35" spans="2:11" x14ac:dyDescent="0.2">
      <x:c r="B35" s="12">
        <x:v>-42.5</x:v>
      </x:c>
      <x:c r="C35" s="4">
        <x:f>$C$9-$C$5</x:f>
      </x:c>
      <x:c r="D35" s="4">
        <x:f>$C$9-$C$6</x:f>
      </x:c>
      <x:c r="E35" s="4">
        <x:f>$C$9-$C$7</x:f>
      </x:c>
      <x:c r="F35" s="4">
        <x:f>$C$9-$C$8</x:f>
      </x:c>
      <x:c r="G35" s="4">
        <x:f>$C$9-$C$9</x:f>
      </x:c>
      <x:c r="H35" s="4">
        <x:f>$C$9-$C$10</x:f>
      </x:c>
      <x:c r="I35" s="4">
        <x:f>$C$9-$C$11</x:f>
      </x:c>
      <x:c r="J35" s="4">
        <x:f>$C$9-$C$12</x:f>
      </x:c>
      <x:c r="K35" s="4">
        <x:f>$C$9-$C$13</x:f>
      </x:c>
    </x:row>
    <x:row r="36" spans="2:11" x14ac:dyDescent="0.2">
      <x:c r="B36" s="13">
        <x:v>9.9999999999999991E-308</x:v>
      </x:c>
      <x:c r="C36" s="4">
        <x:f>$C$10-$C$5</x:f>
      </x:c>
      <x:c r="D36" s="4">
        <x:f>$C$10-$C$6</x:f>
      </x:c>
      <x:c r="E36" s="4">
        <x:f>$C$10-$C$7</x:f>
      </x:c>
      <x:c r="F36" s="4">
        <x:f>$C$10-$C$8</x:f>
      </x:c>
      <x:c r="G36" s="4">
        <x:f>$C$10-$C$9</x:f>
      </x:c>
      <x:c r="H36" s="4">
        <x:f>$C$10-$C$10</x:f>
      </x:c>
      <x:c r="I36" s="4">
        <x:f>$C$10-$C$11</x:f>
      </x:c>
      <x:c r="J36" s="4">
        <x:f>$C$10-$C$12</x:f>
      </x:c>
      <x:c r="K36" s="4">
        <x:f>$C$10-$C$13</x:f>
      </x:c>
    </x:row>
    <x:row r="37" spans="2:11" x14ac:dyDescent="0.2">
      <x:c r="B37" s="13">
        <x:v>-9.9999999999999991E-308</x:v>
      </x:c>
      <x:c r="C37" s="4">
        <x:f>$C$11-$C$5</x:f>
      </x:c>
      <x:c r="D37" s="4">
        <x:f>$C$11-$C$6</x:f>
      </x:c>
      <x:c r="E37" s="4">
        <x:f>$C$11-$C$7</x:f>
      </x:c>
      <x:c r="F37" s="4">
        <x:f>$C$11-$C$8</x:f>
      </x:c>
      <x:c r="G37" s="4">
        <x:f>$C$11-$C$9</x:f>
      </x:c>
      <x:c r="H37" s="4">
        <x:f>$C$11-$C$10</x:f>
      </x:c>
      <x:c r="I37" s="4">
        <x:f>$C$11-$C$11</x:f>
      </x:c>
      <x:c r="J37" s="4">
        <x:f>$C$11-$C$12</x:f>
      </x:c>
      <x:c r="K37" s="4">
        <x:f>$C$11-$C$13</x:f>
      </x:c>
    </x:row>
    <x:row r="38" spans="2:11" x14ac:dyDescent="0.2">
      <x:c r="B38" s="13">
        <x:v>9.990000000000001E+307</x:v>
      </x:c>
      <x:c r="C38" s="4">
        <x:f>$C$12-$C$5</x:f>
      </x:c>
      <x:c r="D38" s="4">
        <x:f>$C$12-$C$6</x:f>
      </x:c>
      <x:c r="E38" s="4">
        <x:f>$C$12-$C$7</x:f>
      </x:c>
      <x:c r="F38" s="4">
        <x:f>$C$12-$C$8</x:f>
      </x:c>
      <x:c r="G38" s="4">
        <x:f>$C$12-$C$9</x:f>
      </x:c>
      <x:c r="H38" s="4">
        <x:f>$C$12-$C$10</x:f>
      </x:c>
      <x:c r="I38" s="4">
        <x:f>$C$12-$C$11</x:f>
      </x:c>
      <x:c r="J38" s="4">
        <x:f>$C$12-$C$12</x:f>
      </x:c>
      <x:c r="K38" s="4">
        <x:f>$C$12-$C$13</x:f>
      </x:c>
    </x:row>
    <x:row r="39" spans="2:11" x14ac:dyDescent="0.2">
      <x:c r="B39" s="13">
        <x:v>-9.990000000000001E+307</x:v>
      </x:c>
      <x:c r="C39" s="4">
        <x:f>$C$13-$C$5</x:f>
      </x:c>
      <x:c r="D39" s="4">
        <x:f>$C$13-$C$6</x:f>
      </x:c>
      <x:c r="E39" s="4">
        <x:f>$C$13-$C$7</x:f>
      </x:c>
      <x:c r="F39" s="4">
        <x:f>$C$13-$C$8</x:f>
      </x:c>
      <x:c r="G39" s="4">
        <x:f>$C$13-$C$9</x:f>
      </x:c>
      <x:c r="H39" s="4">
        <x:f>$C$13-$C$10</x:f>
      </x:c>
      <x:c r="I39" s="4">
        <x:f>$C$13-$C$11</x:f>
      </x:c>
      <x:c r="J39" s="4">
        <x:f>$C$13-$C$12</x:f>
      </x:c>
      <x:c r="K39" s="4">
        <x:f>$C$13-$C$13</x:f>
      </x:c>
    </x:row>
    <x:row r="40" spans="2:11" x14ac:dyDescent="0.2">
      <x:c r="B40" s="3"/>
      <x:c r="C40" s="3"/>
      <x:c r="D40" s="3"/>
      <x:c r="E40" s="3"/>
      <x:c r="F40" s="3"/>
      <x:c r="G40" s="3"/>
      <x:c r="H40" s="3"/>
      <x:c r="I40" s="3"/>
      <x:c r="J40" s="3"/>
      <x:c r="K40" s="3"/>
    </x:row>
    <x:row r="41" spans="2:11" x14ac:dyDescent="0.2">
      <x:c r="B41" s="3"/>
      <x:c r="C41" s="3"/>
      <x:c r="D41" s="3"/>
      <x:c r="E41" s="3"/>
      <x:c r="F41" s="3"/>
      <x:c r="G41" s="3"/>
      <x:c r="H41" s="3"/>
      <x:c r="I41" s="3"/>
      <x:c r="J41" s="3"/>
      <x:c r="K41" s="3"/>
    </x:row>
    <x:row r="42" spans="2:11" ht="17" thickBot="1" x14ac:dyDescent="0.25">
      <x:c r="B42" s="6" t="s">
        <x:v>14</x:v>
      </x:c>
      <x:c r="C42" s="6"/>
      <x:c r="D42" s="6"/>
      <x:c r="E42" s="6"/>
      <x:c r="F42" s="6"/>
      <x:c r="G42" s="6"/>
      <x:c r="H42" s="6"/>
      <x:c r="I42" s="6"/>
      <x:c r="J42" s="6"/>
      <x:c r="K42" s="6"/>
    </x:row>
    <x:row r="43" spans="2:11" x14ac:dyDescent="0.2">
      <x:c r="B43" s="7" t="s">
        <x:v>12</x:v>
      </x:c>
      <x:c r="C43" s="8">
        <x:v>0</x:v>
      </x:c>
      <x:c r="D43" s="8">
        <x:v>1</x:v>
      </x:c>
      <x:c r="E43" s="8">
        <x:v>-1</x:v>
      </x:c>
      <x:c r="F43" s="8">
        <x:v>42.5</x:v>
      </x:c>
      <x:c r="G43" s="8">
        <x:v>-42.5</x:v>
      </x:c>
      <x:c r="H43" s="9">
        <x:v>9.9999999999999991E-308</x:v>
      </x:c>
      <x:c r="I43" s="9">
        <x:v>-9.9999999999999991E-308</x:v>
      </x:c>
      <x:c r="J43" s="9">
        <x:v>9.990000000000001E+307</x:v>
      </x:c>
      <x:c r="K43" s="9">
        <x:v>-9.990000000000001E+307</x:v>
      </x:c>
    </x:row>
    <x:row r="44" spans="2:11" x14ac:dyDescent="0.2">
      <x:c r="B44" s="12">
        <x:v>0</x:v>
      </x:c>
      <x:c r="C44" s="4">
        <x:f>$C$5*$C$5</x:f>
      </x:c>
      <x:c r="D44" s="4">
        <x:f>$C$5*$C$6</x:f>
      </x:c>
      <x:c r="E44" s="4">
        <x:f>$C$5*$C$7</x:f>
      </x:c>
      <x:c r="F44" s="4">
        <x:f>$C$5*$C$8</x:f>
      </x:c>
      <x:c r="G44" s="4">
        <x:f>$C$5*$C$9</x:f>
      </x:c>
      <x:c r="H44" s="4">
        <x:f>$C$5*$C$10</x:f>
      </x:c>
      <x:c r="I44" s="4">
        <x:f>$C$5*$C$11</x:f>
      </x:c>
      <x:c r="J44" s="4">
        <x:f>$C$5*$C$12</x:f>
      </x:c>
      <x:c r="K44" s="4">
        <x:f>$C$5*$C$13</x:f>
      </x:c>
    </x:row>
    <x:row r="45" spans="2:11" x14ac:dyDescent="0.2">
      <x:c r="B45" s="12">
        <x:v>1</x:v>
      </x:c>
      <x:c r="C45" s="4">
        <x:f>$C$6*$C$5</x:f>
      </x:c>
      <x:c r="D45" s="4">
        <x:f>$C$6*$C$6</x:f>
      </x:c>
      <x:c r="E45" s="4">
        <x:f>$C$6*$C$7</x:f>
      </x:c>
      <x:c r="F45" s="4">
        <x:f>$C$6*$C$8</x:f>
      </x:c>
      <x:c r="G45" s="4">
        <x:f>$C$6*$C$9</x:f>
      </x:c>
      <x:c r="H45" s="4">
        <x:f>$C$6*$C$10</x:f>
      </x:c>
      <x:c r="I45" s="4">
        <x:f>$C$6*$C$11</x:f>
      </x:c>
      <x:c r="J45" s="4">
        <x:f>$C$6*$C$12</x:f>
      </x:c>
      <x:c r="K45" s="4">
        <x:f>$C$6*$C$13</x:f>
      </x:c>
    </x:row>
    <x:row r="46" spans="2:11" x14ac:dyDescent="0.2">
      <x:c r="B46" s="12">
        <x:v>-1</x:v>
      </x:c>
      <x:c r="C46" s="4">
        <x:f>$C$7*$C$5</x:f>
      </x:c>
      <x:c r="D46" s="4">
        <x:f>$C$7*$C$6</x:f>
      </x:c>
      <x:c r="E46" s="4">
        <x:f>$C$7*$C$7</x:f>
      </x:c>
      <x:c r="F46" s="4">
        <x:f>$C$7*$C$8</x:f>
      </x:c>
      <x:c r="G46" s="4">
        <x:f>$C$7*$C$9</x:f>
      </x:c>
      <x:c r="H46" s="4">
        <x:f>$C$7*$C$10</x:f>
      </x:c>
      <x:c r="I46" s="4">
        <x:f>$C$7*$C$11</x:f>
      </x:c>
      <x:c r="J46" s="4">
        <x:f>$C$7*$C$12</x:f>
      </x:c>
      <x:c r="K46" s="4">
        <x:f>$C$7*$C$13</x:f>
      </x:c>
    </x:row>
    <x:row r="47" spans="2:11" x14ac:dyDescent="0.2">
      <x:c r="B47" s="12">
        <x:v>42.5</x:v>
      </x:c>
      <x:c r="C47" s="4">
        <x:f>$C$8*$C$5</x:f>
      </x:c>
      <x:c r="D47" s="4">
        <x:f>$C$8*$C$6</x:f>
      </x:c>
      <x:c r="E47" s="4">
        <x:f>$C$8*$C$7</x:f>
      </x:c>
      <x:c r="F47" s="4">
        <x:f>$C$8*$C$8</x:f>
      </x:c>
      <x:c r="G47" s="4">
        <x:f>$C$8*$C$9</x:f>
      </x:c>
      <x:c r="H47" s="4">
        <x:f>$C$8*$C$10</x:f>
      </x:c>
      <x:c r="I47" s="4">
        <x:f>$C$8*$C$11</x:f>
      </x:c>
      <x:c r="J47" s="4">
        <x:f>$C$8*$C$12</x:f>
      </x:c>
      <x:c r="K47" s="4">
        <x:f>$C$8*$C$13</x:f>
      </x:c>
    </x:row>
    <x:row r="48" spans="2:11" x14ac:dyDescent="0.2">
      <x:c r="B48" s="12">
        <x:v>-42.5</x:v>
      </x:c>
      <x:c r="C48" s="4">
        <x:f>$C$9*$C$5</x:f>
      </x:c>
      <x:c r="D48" s="4">
        <x:f>$C$9*$C$6</x:f>
      </x:c>
      <x:c r="E48" s="4">
        <x:f>$C$9*$C$7</x:f>
      </x:c>
      <x:c r="F48" s="4">
        <x:f>$C$9*$C$8</x:f>
      </x:c>
      <x:c r="G48" s="4">
        <x:f>$C$9*$C$9</x:f>
      </x:c>
      <x:c r="H48" s="4">
        <x:f>$C$9*$C$10</x:f>
      </x:c>
      <x:c r="I48" s="4">
        <x:f>$C$9*$C$11</x:f>
      </x:c>
      <x:c r="J48" s="4">
        <x:f>$C$9*$C$12</x:f>
      </x:c>
      <x:c r="K48" s="4">
        <x:f>$C$9*$C$13</x:f>
      </x:c>
    </x:row>
    <x:row r="49" spans="2:11" x14ac:dyDescent="0.2">
      <x:c r="B49" s="13">
        <x:v>9.9999999999999991E-308</x:v>
      </x:c>
      <x:c r="C49" s="4">
        <x:f>$C$10*$C$5</x:f>
      </x:c>
      <x:c r="D49" s="4">
        <x:f>$C$10*$C$6</x:f>
      </x:c>
      <x:c r="E49" s="4">
        <x:f>$C$10*$C$7</x:f>
      </x:c>
      <x:c r="F49" s="4">
        <x:f>$C$10*$C$8</x:f>
      </x:c>
      <x:c r="G49" s="4">
        <x:f>$C$10*$C$9</x:f>
      </x:c>
      <x:c r="H49" s="4">
        <x:f>$C$10*$C$10</x:f>
      </x:c>
      <x:c r="I49" s="4">
        <x:f>$C$10*$C$11</x:f>
      </x:c>
      <x:c r="J49" s="4">
        <x:f>$C$10*$C$12</x:f>
      </x:c>
      <x:c r="K49" s="4">
        <x:f>$C$10*$C$13</x:f>
      </x:c>
    </x:row>
    <x:row r="50" spans="2:11" x14ac:dyDescent="0.2">
      <x:c r="B50" s="13">
        <x:v>-9.9999999999999991E-308</x:v>
      </x:c>
      <x:c r="C50" s="4">
        <x:f>$C$11*$C$5</x:f>
      </x:c>
      <x:c r="D50" s="4">
        <x:f>$C$11*$C$6</x:f>
      </x:c>
      <x:c r="E50" s="4">
        <x:f>$C$11*$C$7</x:f>
      </x:c>
      <x:c r="F50" s="4">
        <x:f>$C$11*$C$8</x:f>
      </x:c>
      <x:c r="G50" s="4">
        <x:f>$C$11*$C$9</x:f>
      </x:c>
      <x:c r="H50" s="4">
        <x:f>$C$11*$C$10</x:f>
      </x:c>
      <x:c r="I50" s="4">
        <x:f>$C$11*$C$11</x:f>
      </x:c>
      <x:c r="J50" s="4">
        <x:f>$C$11*$C$12</x:f>
      </x:c>
      <x:c r="K50" s="4">
        <x:f>$C$11*$C$13</x:f>
      </x:c>
    </x:row>
    <x:row r="51" spans="2:11" x14ac:dyDescent="0.2">
      <x:c r="B51" s="13">
        <x:v>9.990000000000001E+307</x:v>
      </x:c>
      <x:c r="C51" s="4">
        <x:f>$C$12*$C$5</x:f>
      </x:c>
      <x:c r="D51" s="4">
        <x:f>$C$12*$C$6</x:f>
      </x:c>
      <x:c r="E51" s="4">
        <x:f>$C$12*$C$7</x:f>
      </x:c>
      <x:c r="F51" s="4">
        <x:f>$C$12*$C$8</x:f>
      </x:c>
      <x:c r="G51" s="4">
        <x:f>$C$12*$C$9</x:f>
      </x:c>
      <x:c r="H51" s="4">
        <x:f>$C$12*$C$10</x:f>
      </x:c>
      <x:c r="I51" s="4">
        <x:f>$C$12*$C$11</x:f>
      </x:c>
      <x:c r="J51" s="4">
        <x:f>$C$12*$C$12</x:f>
      </x:c>
      <x:c r="K51" s="4">
        <x:f>$C$12*$C$13</x:f>
      </x:c>
    </x:row>
    <x:row r="52" spans="2:11" x14ac:dyDescent="0.2">
      <x:c r="B52" s="13">
        <x:v>-9.990000000000001E+307</x:v>
      </x:c>
      <x:c r="C52" s="4">
        <x:f>$C$13*$C$5</x:f>
      </x:c>
      <x:c r="D52" s="4">
        <x:f>$C$13*$C$6</x:f>
      </x:c>
      <x:c r="E52" s="4">
        <x:f>$C$13*$C$7</x:f>
      </x:c>
      <x:c r="F52" s="4">
        <x:f>$C$13*$C$8</x:f>
      </x:c>
      <x:c r="G52" s="4">
        <x:f>$C$13*$C$9</x:f>
      </x:c>
      <x:c r="H52" s="4">
        <x:f>$C$13*$C$10</x:f>
      </x:c>
      <x:c r="I52" s="4">
        <x:f>$C$13*$C$11</x:f>
      </x:c>
      <x:c r="J52" s="4">
        <x:f>$C$13*$C$12</x:f>
      </x:c>
      <x:c r="K52" s="4">
        <x:f>$C$13*$C$13</x:f>
      </x:c>
    </x:row>
    <x:row r="53" spans="2:11" x14ac:dyDescent="0.2">
      <x:c r="B53" s="3"/>
      <x:c r="C53" s="3"/>
      <x:c r="D53" s="3"/>
      <x:c r="E53" s="3"/>
      <x:c r="F53" s="3"/>
      <x:c r="G53" s="3"/>
      <x:c r="H53" s="3"/>
      <x:c r="I53" s="3"/>
      <x:c r="J53" s="3"/>
      <x:c r="K53" s="3"/>
    </x:row>
    <x:row r="54" spans="2:11" x14ac:dyDescent="0.2">
      <x:c r="B54" s="3"/>
      <x:c r="C54" s="3"/>
      <x:c r="D54" s="3"/>
      <x:c r="E54" s="3"/>
      <x:c r="F54" s="3"/>
      <x:c r="G54" s="3"/>
      <x:c r="H54" s="3"/>
      <x:c r="I54" s="3"/>
      <x:c r="J54" s="3"/>
      <x:c r="K54" s="3"/>
    </x:row>
    <x:row r="55" spans="2:11" ht="17" thickBot="1" x14ac:dyDescent="0.25">
      <x:c r="B55" s="6" t="s">
        <x:v>15</x:v>
      </x:c>
      <x:c r="C55" s="6"/>
      <x:c r="D55" s="6"/>
      <x:c r="E55" s="6"/>
      <x:c r="F55" s="6"/>
      <x:c r="G55" s="6"/>
      <x:c r="H55" s="6"/>
      <x:c r="I55" s="6"/>
      <x:c r="J55" s="6"/>
      <x:c r="K55" s="6"/>
    </x:row>
    <x:row r="56" spans="2:11" x14ac:dyDescent="0.2">
      <x:c r="B56" s="7" t="s">
        <x:v>12</x:v>
      </x:c>
      <x:c r="C56" s="8">
        <x:v>0</x:v>
      </x:c>
      <x:c r="D56" s="8">
        <x:v>1</x:v>
      </x:c>
      <x:c r="E56" s="8">
        <x:v>-1</x:v>
      </x:c>
      <x:c r="F56" s="8">
        <x:v>42.5</x:v>
      </x:c>
      <x:c r="G56" s="8">
        <x:v>-42.5</x:v>
      </x:c>
      <x:c r="H56" s="9">
        <x:v>9.9999999999999991E-308</x:v>
      </x:c>
      <x:c r="I56" s="9">
        <x:v>-9.9999999999999991E-308</x:v>
      </x:c>
      <x:c r="J56" s="9">
        <x:v>9.990000000000001E+307</x:v>
      </x:c>
      <x:c r="K56" s="9">
        <x:v>-9.990000000000001E+307</x:v>
      </x:c>
    </x:row>
    <x:row r="57" spans="2:11" x14ac:dyDescent="0.2">
      <x:c r="B57" s="12">
        <x:v>0</x:v>
      </x:c>
      <x:c r="C57" s="4">
        <x:f>$C$5/$C$5</x:f>
      </x:c>
      <x:c r="D57" s="4">
        <x:f>$C$5/$C$6</x:f>
      </x:c>
      <x:c r="E57" s="4">
        <x:f>$C$5/$C$7</x:f>
      </x:c>
      <x:c r="F57" s="4">
        <x:f>$C$5/$C$8</x:f>
      </x:c>
      <x:c r="G57" s="4">
        <x:f>$C$5/$C$9</x:f>
      </x:c>
      <x:c r="H57" s="4">
        <x:f>$C$5/$C$10</x:f>
      </x:c>
      <x:c r="I57" s="4">
        <x:f>$C$5/$C$11</x:f>
      </x:c>
      <x:c r="J57" s="4">
        <x:f>$C$5/$C$12</x:f>
      </x:c>
      <x:c r="K57" s="4">
        <x:f>$C$5/$C$13</x:f>
      </x:c>
    </x:row>
    <x:row r="58" spans="2:11" x14ac:dyDescent="0.2">
      <x:c r="B58" s="12">
        <x:v>1</x:v>
      </x:c>
      <x:c r="C58" s="4">
        <x:f>$C$6/$C$5</x:f>
      </x:c>
      <x:c r="D58" s="4">
        <x:f>$C$6/$C$6</x:f>
      </x:c>
      <x:c r="E58" s="4">
        <x:f>$C$6/$C$7</x:f>
      </x:c>
      <x:c r="F58" s="4">
        <x:f>$C$6/$C$8</x:f>
      </x:c>
      <x:c r="G58" s="4">
        <x:f>$C$6/$C$9</x:f>
      </x:c>
      <x:c r="H58" s="4">
        <x:f>$C$6/$C$10</x:f>
      </x:c>
      <x:c r="I58" s="4">
        <x:f>$C$6/$C$11</x:f>
      </x:c>
      <x:c r="J58" s="4">
        <x:f>$C$6/$C$12</x:f>
      </x:c>
      <x:c r="K58" s="4">
        <x:f>$C$6/$C$13</x:f>
      </x:c>
    </x:row>
    <x:row r="59" spans="2:11" x14ac:dyDescent="0.2">
      <x:c r="B59" s="12">
        <x:v>-1</x:v>
      </x:c>
      <x:c r="C59" s="4">
        <x:f>$C$7/$C$5</x:f>
      </x:c>
      <x:c r="D59" s="4">
        <x:f>$C$7/$C$6</x:f>
      </x:c>
      <x:c r="E59" s="4">
        <x:f>$C$7/$C$7</x:f>
      </x:c>
      <x:c r="F59" s="4">
        <x:f>$C$7/$C$8</x:f>
      </x:c>
      <x:c r="G59" s="4">
        <x:f>$C$7/$C$9</x:f>
      </x:c>
      <x:c r="H59" s="4">
        <x:f>$C$7/$C$10</x:f>
      </x:c>
      <x:c r="I59" s="4">
        <x:f>$C$7/$C$11</x:f>
      </x:c>
      <x:c r="J59" s="4">
        <x:f>$C$7/$C$12</x:f>
      </x:c>
      <x:c r="K59" s="4">
        <x:f>$C$7/$C$13</x:f>
      </x:c>
    </x:row>
    <x:row r="60" spans="2:11" x14ac:dyDescent="0.2">
      <x:c r="B60" s="12">
        <x:v>42.5</x:v>
      </x:c>
      <x:c r="C60" s="4">
        <x:f>$C$8/$C$5</x:f>
      </x:c>
      <x:c r="D60" s="4">
        <x:f>$C$8/$C$6</x:f>
      </x:c>
      <x:c r="E60" s="4">
        <x:f>$C$8/$C$7</x:f>
      </x:c>
      <x:c r="F60" s="4">
        <x:f>$C$8/$C$8</x:f>
      </x:c>
      <x:c r="G60" s="4">
        <x:f>$C$8/$C$9</x:f>
      </x:c>
      <x:c r="H60" s="4">
        <x:f>$C$8/$C$10</x:f>
      </x:c>
      <x:c r="I60" s="4">
        <x:f>$C$8/$C$11</x:f>
      </x:c>
      <x:c r="J60" s="4">
        <x:f>$C$8/$C$12</x:f>
      </x:c>
      <x:c r="K60" s="4">
        <x:f>$C$8/$C$13</x:f>
      </x:c>
    </x:row>
    <x:row r="61" spans="2:11" x14ac:dyDescent="0.2">
      <x:c r="B61" s="12">
        <x:v>-42.5</x:v>
      </x:c>
      <x:c r="C61" s="4">
        <x:f>$C$9/$C$5</x:f>
      </x:c>
      <x:c r="D61" s="4">
        <x:f>$C$9/$C$6</x:f>
      </x:c>
      <x:c r="E61" s="4">
        <x:f>$C$9/$C$7</x:f>
      </x:c>
      <x:c r="F61" s="4">
        <x:f>$C$9/$C$8</x:f>
      </x:c>
      <x:c r="G61" s="4">
        <x:f>$C$9/$C$9</x:f>
      </x:c>
      <x:c r="H61" s="4">
        <x:f>$C$9/$C$10</x:f>
      </x:c>
      <x:c r="I61" s="4">
        <x:f>$C$9/$C$11</x:f>
      </x:c>
      <x:c r="J61" s="4">
        <x:f>$C$9/$C$12</x:f>
      </x:c>
      <x:c r="K61" s="4">
        <x:f>$C$9/$C$13</x:f>
      </x:c>
    </x:row>
    <x:row r="62" spans="2:11" x14ac:dyDescent="0.2">
      <x:c r="B62" s="13">
        <x:v>9.9999999999999991E-308</x:v>
      </x:c>
      <x:c r="C62" s="4">
        <x:f>$C$10/$C$5</x:f>
      </x:c>
      <x:c r="D62" s="4">
        <x:f>$C$10/$C$6</x:f>
      </x:c>
      <x:c r="E62" s="4">
        <x:f>$C$10/$C$7</x:f>
      </x:c>
      <x:c r="F62" s="4">
        <x:f>$C$10/$C$8</x:f>
      </x:c>
      <x:c r="G62" s="4">
        <x:f>$C$10/$C$9</x:f>
      </x:c>
      <x:c r="H62" s="4">
        <x:f>$C$10/$C$10</x:f>
      </x:c>
      <x:c r="I62" s="4">
        <x:f>$C$10/$C$11</x:f>
      </x:c>
      <x:c r="J62" s="4">
        <x:f>$C$10/$C$12</x:f>
      </x:c>
      <x:c r="K62" s="4">
        <x:f>$C$10/$C$13</x:f>
      </x:c>
    </x:row>
    <x:row r="63" spans="2:11" x14ac:dyDescent="0.2">
      <x:c r="B63" s="13">
        <x:v>-9.9999999999999991E-308</x:v>
      </x:c>
      <x:c r="C63" s="4">
        <x:f>$C$11/$C$5</x:f>
      </x:c>
      <x:c r="D63" s="4">
        <x:f>$C$11/$C$6</x:f>
      </x:c>
      <x:c r="E63" s="4">
        <x:f>$C$11/$C$7</x:f>
      </x:c>
      <x:c r="F63" s="4">
        <x:f>$C$11/$C$8</x:f>
      </x:c>
      <x:c r="G63" s="4">
        <x:f>$C$11/$C$9</x:f>
      </x:c>
      <x:c r="H63" s="4">
        <x:f>$C$11/$C$10</x:f>
      </x:c>
      <x:c r="I63" s="4">
        <x:f>$C$11/$C$11</x:f>
      </x:c>
      <x:c r="J63" s="4">
        <x:f>$C$11/$C$12</x:f>
      </x:c>
      <x:c r="K63" s="4">
        <x:f>$C$11/$C$13</x:f>
      </x:c>
    </x:row>
    <x:row r="64" spans="2:11" x14ac:dyDescent="0.2">
      <x:c r="B64" s="13">
        <x:v>9.990000000000001E+307</x:v>
      </x:c>
      <x:c r="C64" s="4">
        <x:f>$C$12/$C$5</x:f>
      </x:c>
      <x:c r="D64" s="4">
        <x:f>$C$12/$C$6</x:f>
      </x:c>
      <x:c r="E64" s="4">
        <x:f>$C$12/$C$7</x:f>
      </x:c>
      <x:c r="F64" s="4">
        <x:f>$C$12/$C$8</x:f>
      </x:c>
      <x:c r="G64" s="4">
        <x:f>$C$12/$C$9</x:f>
      </x:c>
      <x:c r="H64" s="4">
        <x:f>$C$12/$C$10</x:f>
      </x:c>
      <x:c r="I64" s="4">
        <x:f>$C$12/$C$11</x:f>
      </x:c>
      <x:c r="J64" s="4">
        <x:f>$C$12/$C$12</x:f>
      </x:c>
      <x:c r="K64" s="4">
        <x:f>$C$12/$C$13</x:f>
      </x:c>
    </x:row>
    <x:row r="65" spans="2:11" x14ac:dyDescent="0.2">
      <x:c r="B65" s="13">
        <x:v>-9.990000000000001E+307</x:v>
      </x:c>
      <x:c r="C65" s="4">
        <x:f>$C$13/$C$5</x:f>
      </x:c>
      <x:c r="D65" s="4">
        <x:f>$C$13/$C$6</x:f>
      </x:c>
      <x:c r="E65" s="4">
        <x:f>$C$13/$C$7</x:f>
      </x:c>
      <x:c r="F65" s="4">
        <x:f>$C$13/$C$8</x:f>
      </x:c>
      <x:c r="G65" s="4">
        <x:f>$C$13/$C$9</x:f>
      </x:c>
      <x:c r="H65" s="4">
        <x:f>$C$13/$C$10</x:f>
      </x:c>
      <x:c r="I65" s="4">
        <x:f>$C$13/$C$11</x:f>
      </x:c>
      <x:c r="J65" s="4">
        <x:f>$C$13/$C$12</x:f>
      </x:c>
      <x:c r="K65" s="4">
        <x:f>$C$13/$C$13</x:f>
      </x:c>
    </x:row>
    <x:row r="66" spans="2:11" x14ac:dyDescent="0.2">
      <x:c r="B66" s="3"/>
      <x:c r="C66" s="3"/>
      <x:c r="D66" s="3"/>
      <x:c r="E66" s="3"/>
      <x:c r="F66" s="3"/>
      <x:c r="G66" s="3"/>
      <x:c r="H66" s="3"/>
      <x:c r="I66" s="3"/>
      <x:c r="J66" s="3"/>
      <x:c r="K66" s="3"/>
    </x:row>
    <x:row r="67" spans="2:11" x14ac:dyDescent="0.2">
      <x:c r="B67" s="3"/>
      <x:c r="C67" s="3"/>
      <x:c r="D67" s="3"/>
      <x:c r="E67" s="3"/>
      <x:c r="F67" s="3"/>
      <x:c r="G67" s="3"/>
      <x:c r="H67" s="3"/>
      <x:c r="I67" s="3"/>
      <x:c r="J67" s="3"/>
      <x:c r="K67" s="3"/>
    </x:row>
    <x:row r="68" spans="2:11" ht="17" thickBot="1" x14ac:dyDescent="0.25">
      <x:c r="B68" s="6" t="s">
        <x:v>16</x:v>
      </x:c>
      <x:c r="C68" s="6"/>
      <x:c r="D68" s="6"/>
      <x:c r="E68" s="6"/>
      <x:c r="F68" s="6"/>
      <x:c r="G68" s="6"/>
      <x:c r="H68" s="6"/>
      <x:c r="I68" s="6"/>
      <x:c r="J68" s="6"/>
      <x:c r="K68" s="6"/>
    </x:row>
    <x:row r="69" spans="2:11" x14ac:dyDescent="0.2">
      <x:c r="B69" s="7" t="s">
        <x:v>12</x:v>
      </x:c>
      <x:c r="C69" s="8">
        <x:v>0</x:v>
      </x:c>
      <x:c r="D69" s="8">
        <x:v>1</x:v>
      </x:c>
      <x:c r="E69" s="8">
        <x:v>-1</x:v>
      </x:c>
      <x:c r="F69" s="8">
        <x:v>42.5</x:v>
      </x:c>
      <x:c r="G69" s="8">
        <x:v>-42.5</x:v>
      </x:c>
      <x:c r="H69" s="9">
        <x:v>9.9999999999999991E-308</x:v>
      </x:c>
      <x:c r="I69" s="9">
        <x:v>-9.9999999999999991E-308</x:v>
      </x:c>
      <x:c r="J69" s="9">
        <x:v>9.990000000000001E+307</x:v>
      </x:c>
      <x:c r="K69" s="9">
        <x:v>-9.990000000000001E+307</x:v>
      </x:c>
    </x:row>
    <x:row r="70" spans="2:11" x14ac:dyDescent="0.2">
      <x:c r="B70" s="12">
        <x:v>0</x:v>
      </x:c>
      <x:c r="C70" s="4">
        <x:f>POWER($C$5,$C$5)</x:f>
      </x:c>
      <x:c r="D70" s="4">
        <x:f>POWER($C$5,$C$6)</x:f>
      </x:c>
      <x:c r="E70" s="4">
        <x:f>POWER($C$5,$C$7)</x:f>
      </x:c>
      <x:c r="F70" s="4">
        <x:f>POWER($C$5,$C$8)</x:f>
      </x:c>
      <x:c r="G70" s="4">
        <x:f>POWER($C$5,$C$9)</x:f>
      </x:c>
      <x:c r="H70" s="4">
        <x:f>POWER($C$5,$C$10)</x:f>
      </x:c>
      <x:c r="I70" s="4">
        <x:f>POWER($C$5,$C$11)</x:f>
      </x:c>
      <x:c r="J70" s="4">
        <x:f>POWER($C$5,$C$12)</x:f>
      </x:c>
      <x:c r="K70" s="4">
        <x:f>POWER($C$5,$C$13)</x:f>
      </x:c>
    </x:row>
    <x:row r="71" spans="2:11" x14ac:dyDescent="0.2">
      <x:c r="B71" s="12">
        <x:v>1</x:v>
      </x:c>
      <x:c r="C71" s="4">
        <x:f>POWER($C$6,$C$5)</x:f>
      </x:c>
      <x:c r="D71" s="4">
        <x:f>POWER($C$6,$C$6)</x:f>
      </x:c>
      <x:c r="E71" s="4">
        <x:f>POWER($C$6,$C$7)</x:f>
      </x:c>
      <x:c r="F71" s="4">
        <x:f>POWER($C$6,$C$8)</x:f>
      </x:c>
      <x:c r="G71" s="4">
        <x:f>POWER($C$6,$C$9)</x:f>
      </x:c>
      <x:c r="H71" s="4">
        <x:f>POWER($C$6,$C$10)</x:f>
      </x:c>
      <x:c r="I71" s="4">
        <x:f>POWER($C$6,$C$11)</x:f>
      </x:c>
      <x:c r="J71" s="4">
        <x:f>POWER($C$6,$C$12)</x:f>
      </x:c>
      <x:c r="K71" s="4">
        <x:f>POWER($C$6,$C$13)</x:f>
      </x:c>
    </x:row>
    <x:row r="72" spans="2:11" x14ac:dyDescent="0.2">
      <x:c r="B72" s="12">
        <x:v>-1</x:v>
      </x:c>
      <x:c r="C72" s="4">
        <x:f>POWER($C$7,$C$5)</x:f>
      </x:c>
      <x:c r="D72" s="4">
        <x:f>POWER($C$7,$C$6)</x:f>
      </x:c>
      <x:c r="E72" s="4">
        <x:f>POWER($C$7,$C$7)</x:f>
      </x:c>
      <x:c r="F72" s="4">
        <x:f>POWER($C$7,$C$8)</x:f>
      </x:c>
      <x:c r="G72" s="4">
        <x:f>POWER($C$7,$C$9)</x:f>
      </x:c>
      <x:c r="H72" s="4">
        <x:f>POWER($C$7,$C$10)</x:f>
      </x:c>
      <x:c r="I72" s="4">
        <x:f>POWER($C$7,$C$11)</x:f>
      </x:c>
      <x:c r="J72" s="4">
        <x:f>POWER($C$7,$C$12)</x:f>
      </x:c>
      <x:c r="K72" s="4">
        <x:f>POWER($C$7,$C$13)</x:f>
      </x:c>
    </x:row>
    <x:row r="73" spans="2:11" x14ac:dyDescent="0.2">
      <x:c r="B73" s="12">
        <x:v>42.5</x:v>
      </x:c>
      <x:c r="C73" s="4">
        <x:f>POWER($C$8,$C$5)</x:f>
      </x:c>
      <x:c r="D73" s="4">
        <x:f>POWER($C$8,$C$6)</x:f>
      </x:c>
      <x:c r="E73" s="4">
        <x:f>POWER($C$8,$C$7)</x:f>
      </x:c>
      <x:c r="F73" s="4">
        <x:f>POWER($C$8,$C$8)</x:f>
      </x:c>
      <x:c r="G73" s="4">
        <x:f>POWER($C$8,$C$9)</x:f>
      </x:c>
      <x:c r="H73" s="4">
        <x:f>POWER($C$8,$C$10)</x:f>
      </x:c>
      <x:c r="I73" s="4">
        <x:f>POWER($C$8,$C$11)</x:f>
      </x:c>
      <x:c r="J73" s="4">
        <x:f>POWER($C$8,$C$12)</x:f>
      </x:c>
      <x:c r="K73" s="4">
        <x:f>POWER($C$8,$C$13)</x:f>
      </x:c>
    </x:row>
    <x:row r="74" spans="2:11" x14ac:dyDescent="0.2">
      <x:c r="B74" s="12">
        <x:v>-42.5</x:v>
      </x:c>
      <x:c r="C74" s="4">
        <x:f>POWER($C$9,$C$5)</x:f>
      </x:c>
      <x:c r="D74" s="4">
        <x:f>POWER($C$9,$C$6)</x:f>
      </x:c>
      <x:c r="E74" s="4">
        <x:f>POWER($C$9,$C$7)</x:f>
      </x:c>
      <x:c r="F74" s="4">
        <x:f>POWER($C$9,$C$8)</x:f>
      </x:c>
      <x:c r="G74" s="4">
        <x:f>POWER($C$9,$C$9)</x:f>
      </x:c>
      <x:c r="H74" s="4">
        <x:f>POWER($C$9,$C$10)</x:f>
      </x:c>
      <x:c r="I74" s="4">
        <x:f>POWER($C$9,$C$11)</x:f>
      </x:c>
      <x:c r="J74" s="4">
        <x:f>POWER($C$9,$C$12)</x:f>
      </x:c>
      <x:c r="K74" s="4">
        <x:f>POWER($C$9,$C$13)</x:f>
      </x:c>
    </x:row>
    <x:row r="75" spans="2:11" x14ac:dyDescent="0.2">
      <x:c r="B75" s="13">
        <x:v>9.9999999999999991E-308</x:v>
      </x:c>
      <x:c r="C75" s="4">
        <x:f>POWER($C$10,$C$5)</x:f>
      </x:c>
      <x:c r="D75" s="4">
        <x:f>POWER($C$10,$C$6)</x:f>
      </x:c>
      <x:c r="E75" s="4">
        <x:f>POWER($C$10,$C$7)</x:f>
      </x:c>
      <x:c r="F75" s="4">
        <x:f>POWER($C$10,$C$8)</x:f>
      </x:c>
      <x:c r="G75" s="4">
        <x:f>POWER($C$10,$C$9)</x:f>
      </x:c>
      <x:c r="H75" s="4">
        <x:f>POWER($C$10,$C$10)</x:f>
      </x:c>
      <x:c r="I75" s="4">
        <x:f>POWER($C$10,$C$11)</x:f>
      </x:c>
      <x:c r="J75" s="4">
        <x:f>POWER($C$10,$C$12)</x:f>
      </x:c>
      <x:c r="K75" s="4">
        <x:f>POWER($C$10,$C$13)</x:f>
      </x:c>
    </x:row>
    <x:row r="76" spans="2:11" x14ac:dyDescent="0.2">
      <x:c r="B76" s="13">
        <x:v>-9.9999999999999991E-308</x:v>
      </x:c>
      <x:c r="C76" s="4">
        <x:f>POWER($C$11,$C$5)</x:f>
      </x:c>
      <x:c r="D76" s="4">
        <x:f>POWER($C$11,$C$6)</x:f>
      </x:c>
      <x:c r="E76" s="4">
        <x:f>POWER($C$11,$C$7)</x:f>
      </x:c>
      <x:c r="F76" s="4">
        <x:f>POWER($C$11,$C$8)</x:f>
      </x:c>
      <x:c r="G76" s="4">
        <x:f>POWER($C$11,$C$9)</x:f>
      </x:c>
      <x:c r="H76" s="4">
        <x:f>POWER($C$11,$C$10)</x:f>
      </x:c>
      <x:c r="I76" s="4">
        <x:f>POWER($C$11,$C$11)</x:f>
      </x:c>
      <x:c r="J76" s="4">
        <x:f>POWER($C$11,$C$12)</x:f>
      </x:c>
      <x:c r="K76" s="4">
        <x:f>POWER($C$11,$C$13)</x:f>
      </x:c>
    </x:row>
    <x:row r="77" spans="2:11" x14ac:dyDescent="0.2">
      <x:c r="B77" s="13">
        <x:v>9.990000000000001E+307</x:v>
      </x:c>
      <x:c r="C77" s="4">
        <x:f>POWER($C$12,$C$5)</x:f>
      </x:c>
      <x:c r="D77" s="4">
        <x:f>POWER($C$12,$C$6)</x:f>
      </x:c>
      <x:c r="E77" s="4">
        <x:f>POWER($C$12,$C$7)</x:f>
      </x:c>
      <x:c r="F77" s="4">
        <x:f>POWER($C$12,$C$8)</x:f>
      </x:c>
      <x:c r="G77" s="4">
        <x:f>POWER($C$12,$C$9)</x:f>
      </x:c>
      <x:c r="H77" s="4">
        <x:f>POWER($C$12,$C$10)</x:f>
      </x:c>
      <x:c r="I77" s="4">
        <x:f>POWER($C$12,$C$11)</x:f>
      </x:c>
      <x:c r="J77" s="4">
        <x:f>POWER($C$12,$C$12)</x:f>
      </x:c>
      <x:c r="K77" s="4">
        <x:f>POWER($C$12,$C$13)</x:f>
      </x:c>
    </x:row>
    <x:row r="78" spans="2:11" x14ac:dyDescent="0.2">
      <x:c r="B78" s="13">
        <x:v>-9.990000000000001E+307</x:v>
      </x:c>
      <x:c r="C78" s="4">
        <x:f>POWER($C$13,$C$5)</x:f>
      </x:c>
      <x:c r="D78" s="4">
        <x:f>POWER($C$13,$C$6)</x:f>
      </x:c>
      <x:c r="E78" s="4">
        <x:f>POWER($C$13,$C$7)</x:f>
      </x:c>
      <x:c r="F78" s="4">
        <x:f>POWER($C$13,$C$8)</x:f>
      </x:c>
      <x:c r="G78" s="4">
        <x:f>POWER($C$13,$C$9)</x:f>
      </x:c>
      <x:c r="H78" s="4">
        <x:f>POWER($C$13,$C$10)</x:f>
      </x:c>
      <x:c r="I78" s="4">
        <x:f>POWER($C$13,$C$11)</x:f>
      </x:c>
      <x:c r="J78" s="4">
        <x:f>POWER($C$13,$C$12)</x:f>
      </x:c>
      <x:c r="K78" s="4">
        <x:f>POWER($C$13,$C$13)</x:f>
      </x:c>
    </x:row>
    <x:row r="79" spans="2:11" x14ac:dyDescent="0.2">
      <x:c r="B79" s="3"/>
      <x:c r="C79" s="3"/>
      <x:c r="D79" s="3"/>
      <x:c r="E79" s="3"/>
      <x:c r="F79" s="3"/>
      <x:c r="G79" s="3"/>
      <x:c r="H79" s="3"/>
      <x:c r="I79" s="3"/>
      <x:c r="J79" s="3"/>
      <x:c r="K79" s="3"/>
    </x:row>
    <x:row r="80" spans="2:11" x14ac:dyDescent="0.2">
      <x:c r="B80" s="3"/>
      <x:c r="C80" s="3"/>
      <x:c r="D80" s="3"/>
      <x:c r="E80" s="3"/>
      <x:c r="F80" s="3"/>
      <x:c r="G80" s="3"/>
      <x:c r="H80" s="3"/>
      <x:c r="I80" s="3"/>
      <x:c r="J80" s="3"/>
      <x:c r="K80" s="3"/>
    </x:row>
    <x:row r="81" spans="2:11" ht="17" thickBot="1" x14ac:dyDescent="0.25">
      <x:c r="B81" s="6" t="s">
        <x:v>17</x:v>
      </x:c>
      <x:c r="C81" s="6"/>
      <x:c r="D81" s="6"/>
      <x:c r="E81" s="6"/>
      <x:c r="F81" s="6"/>
      <x:c r="G81" s="6"/>
      <x:c r="H81" s="6"/>
      <x:c r="I81" s="6"/>
      <x:c r="J81" s="6"/>
      <x:c r="K81" s="6"/>
    </x:row>
    <x:row r="82" spans="2:11" x14ac:dyDescent="0.2">
      <x:c r="B82" s="7" t="s">
        <x:v>12</x:v>
      </x:c>
      <x:c r="C82" s="8">
        <x:v>0</x:v>
      </x:c>
      <x:c r="D82" s="8">
        <x:v>1</x:v>
      </x:c>
      <x:c r="E82" s="8">
        <x:v>-1</x:v>
      </x:c>
      <x:c r="F82" s="8">
        <x:v>42.5</x:v>
      </x:c>
      <x:c r="G82" s="8">
        <x:v>-42.5</x:v>
      </x:c>
      <x:c r="H82" s="9">
        <x:v>9.9999999999999991E-308</x:v>
      </x:c>
      <x:c r="I82" s="9">
        <x:v>-9.9999999999999991E-308</x:v>
      </x:c>
      <x:c r="J82" s="9">
        <x:v>9.990000000000001E+307</x:v>
      </x:c>
      <x:c r="K82" s="9">
        <x:v>-9.990000000000001E+307</x:v>
      </x:c>
    </x:row>
    <x:row r="83" spans="2:11" x14ac:dyDescent="0.2">
      <x:c r="B83" s="12">
        <x:v>0</x:v>
      </x:c>
      <x:c r="C83" s="4">
        <x:f>MOD($C$5,$C$5)</x:f>
      </x:c>
      <x:c r="D83" s="4">
        <x:f>MOD($C$5,$C$6)</x:f>
      </x:c>
      <x:c r="E83" s="4">
        <x:f>MOD($C$5,$C$7)</x:f>
      </x:c>
      <x:c r="F83" s="4">
        <x:f>MOD($C$5,$C$8)</x:f>
      </x:c>
      <x:c r="G83" s="4">
        <x:f>MOD($C$5,$C$9)</x:f>
      </x:c>
      <x:c r="H83" s="4">
        <x:f>MOD($C$5,$C$10)</x:f>
      </x:c>
      <x:c r="I83" s="4">
        <x:f>MOD($C$5,$C$11)</x:f>
      </x:c>
      <x:c r="J83" s="4">
        <x:f>MOD($C$5,$C$12)</x:f>
      </x:c>
      <x:c r="K83" s="4">
        <x:f>MOD($C$5,$C$13)</x:f>
      </x:c>
    </x:row>
    <x:row r="84" spans="2:11" x14ac:dyDescent="0.2">
      <x:c r="B84" s="12">
        <x:v>1</x:v>
      </x:c>
      <x:c r="C84" s="4">
        <x:f>MOD($C$6,$C$5)</x:f>
      </x:c>
      <x:c r="D84" s="4">
        <x:f>MOD($C$6,$C$6)</x:f>
      </x:c>
      <x:c r="E84" s="4">
        <x:f>MOD($C$6,$C$7)</x:f>
      </x:c>
      <x:c r="F84" s="4">
        <x:f>MOD($C$6,$C$8)</x:f>
      </x:c>
      <x:c r="G84" s="4">
        <x:f>MOD($C$6,$C$9)</x:f>
      </x:c>
      <x:c r="H84" s="4">
        <x:f>MOD($C$6,$C$10)</x:f>
      </x:c>
      <x:c r="I84" s="4">
        <x:f>MOD($C$6,$C$11)</x:f>
      </x:c>
      <x:c r="J84" s="4">
        <x:f>MOD($C$6,$C$12)</x:f>
      </x:c>
      <x:c r="K84" s="4">
        <x:f>MOD($C$6,$C$13)</x:f>
      </x:c>
    </x:row>
    <x:row r="85" spans="2:11" x14ac:dyDescent="0.2">
      <x:c r="B85" s="12">
        <x:v>-1</x:v>
      </x:c>
      <x:c r="C85" s="4">
        <x:f>MOD($C$7,$C$5)</x:f>
      </x:c>
      <x:c r="D85" s="4">
        <x:f>MOD($C$7,$C$6)</x:f>
      </x:c>
      <x:c r="E85" s="4">
        <x:f>MOD($C$7,$C$7)</x:f>
      </x:c>
      <x:c r="F85" s="4">
        <x:f>MOD($C$7,$C$8)</x:f>
      </x:c>
      <x:c r="G85" s="4">
        <x:f>MOD($C$7,$C$9)</x:f>
      </x:c>
      <x:c r="H85" s="4">
        <x:f>MOD($C$7,$C$10)</x:f>
      </x:c>
      <x:c r="I85" s="4">
        <x:f>MOD($C$7,$C$11)</x:f>
      </x:c>
      <x:c r="J85" s="4">
        <x:f>MOD($C$7,$C$12)</x:f>
      </x:c>
      <x:c r="K85" s="4">
        <x:f>MOD($C$7,$C$13)</x:f>
      </x:c>
    </x:row>
    <x:row r="86" spans="2:11" x14ac:dyDescent="0.2">
      <x:c r="B86" s="12">
        <x:v>42.5</x:v>
      </x:c>
      <x:c r="C86" s="4">
        <x:f>MOD($C$8,$C$5)</x:f>
      </x:c>
      <x:c r="D86" s="4">
        <x:f>MOD($C$8,$C$6)</x:f>
      </x:c>
      <x:c r="E86" s="4">
        <x:f>MOD($C$8,$C$7)</x:f>
      </x:c>
      <x:c r="F86" s="4">
        <x:f>MOD($C$8,$C$8)</x:f>
      </x:c>
      <x:c r="G86" s="4">
        <x:f>MOD($C$8,$C$9)</x:f>
      </x:c>
      <x:c r="H86" s="4">
        <x:f>MOD($C$8,$C$10)</x:f>
      </x:c>
      <x:c r="I86" s="4">
        <x:f>MOD($C$8,$C$11)</x:f>
      </x:c>
      <x:c r="J86" s="4">
        <x:f>MOD($C$8,$C$12)</x:f>
      </x:c>
      <x:c r="K86" s="4">
        <x:f>MOD($C$8,$C$13)</x:f>
      </x:c>
    </x:row>
    <x:row r="87" spans="2:11" x14ac:dyDescent="0.2">
      <x:c r="B87" s="12">
        <x:v>-42.5</x:v>
      </x:c>
      <x:c r="C87" s="4">
        <x:f>MOD($C$9,$C$5)</x:f>
      </x:c>
      <x:c r="D87" s="4">
        <x:f>MOD($C$9,$C$6)</x:f>
      </x:c>
      <x:c r="E87" s="4">
        <x:f>MOD($C$9,$C$7)</x:f>
      </x:c>
      <x:c r="F87" s="4">
        <x:f>MOD($C$9,$C$8)</x:f>
      </x:c>
      <x:c r="G87" s="4">
        <x:f>MOD($C$9,$C$9)</x:f>
      </x:c>
      <x:c r="H87" s="4">
        <x:f>MOD($C$9,$C$10)</x:f>
      </x:c>
      <x:c r="I87" s="4">
        <x:f>MOD($C$9,$C$11)</x:f>
      </x:c>
      <x:c r="J87" s="4">
        <x:f>MOD($C$9,$C$12)</x:f>
      </x:c>
      <x:c r="K87" s="4">
        <x:f>MOD($C$9,$C$13)</x:f>
      </x:c>
    </x:row>
    <x:row r="88" spans="2:11" x14ac:dyDescent="0.2">
      <x:c r="B88" s="13">
        <x:v>9.9999999999999991E-308</x:v>
      </x:c>
      <x:c r="C88" s="4">
        <x:f>MOD($C$10,$C$5)</x:f>
      </x:c>
      <x:c r="D88" s="4">
        <x:f>MOD($C$10,$C$6)</x:f>
      </x:c>
      <x:c r="E88" s="4">
        <x:f>MOD($C$10,$C$7)</x:f>
      </x:c>
      <x:c r="F88" s="4">
        <x:f>MOD($C$10,$C$8)</x:f>
      </x:c>
      <x:c r="G88" s="4">
        <x:f>MOD($C$10,$C$9)</x:f>
      </x:c>
      <x:c r="H88" s="4">
        <x:f>MOD($C$10,$C$10)</x:f>
      </x:c>
      <x:c r="I88" s="4">
        <x:f>MOD($C$10,$C$11)</x:f>
      </x:c>
      <x:c r="J88" s="4">
        <x:f>MOD($C$10,$C$12)</x:f>
      </x:c>
      <x:c r="K88" s="4">
        <x:f>MOD($C$10,$C$13)</x:f>
      </x:c>
    </x:row>
    <x:row r="89" spans="2:11" x14ac:dyDescent="0.2">
      <x:c r="B89" s="13">
        <x:v>-9.9999999999999991E-308</x:v>
      </x:c>
      <x:c r="C89" s="4">
        <x:f>MOD($C$11,$C$5)</x:f>
      </x:c>
      <x:c r="D89" s="4">
        <x:f>MOD($C$11,$C$6)</x:f>
      </x:c>
      <x:c r="E89" s="4">
        <x:f>MOD($C$11,$C$7)</x:f>
      </x:c>
      <x:c r="F89" s="4">
        <x:f>MOD($C$11,$C$8)</x:f>
      </x:c>
      <x:c r="G89" s="4">
        <x:f>MOD($C$11,$C$9)</x:f>
      </x:c>
      <x:c r="H89" s="4">
        <x:f>MOD($C$11,$C$10)</x:f>
      </x:c>
      <x:c r="I89" s="4">
        <x:f>MOD($C$11,$C$11)</x:f>
      </x:c>
      <x:c r="J89" s="4">
        <x:f>MOD($C$11,$C$12)</x:f>
      </x:c>
      <x:c r="K89" s="4">
        <x:f>MOD($C$11,$C$13)</x:f>
      </x:c>
    </x:row>
    <x:row r="90" spans="2:11" x14ac:dyDescent="0.2">
      <x:c r="B90" s="13">
        <x:v>9.990000000000001E+307</x:v>
      </x:c>
      <x:c r="C90" s="4">
        <x:f>MOD($C$12,$C$5)</x:f>
      </x:c>
      <x:c r="D90" s="4">
        <x:f>MOD($C$12,$C$6)</x:f>
      </x:c>
      <x:c r="E90" s="4">
        <x:f>MOD($C$12,$C$7)</x:f>
      </x:c>
      <x:c r="F90" s="4">
        <x:f>MOD($C$12,$C$8)</x:f>
      </x:c>
      <x:c r="G90" s="4">
        <x:f>MOD($C$12,$C$9)</x:f>
      </x:c>
      <x:c r="H90" s="4">
        <x:f>MOD($C$12,$C$10)</x:f>
      </x:c>
      <x:c r="I90" s="4">
        <x:f>MOD($C$12,$C$11)</x:f>
      </x:c>
      <x:c r="J90" s="4">
        <x:f>MOD($C$12,$C$12)</x:f>
      </x:c>
      <x:c r="K90" s="4">
        <x:f>MOD($C$12,$C$13)</x:f>
      </x:c>
    </x:row>
    <x:row r="91" spans="2:11" x14ac:dyDescent="0.2">
      <x:c r="B91" s="13">
        <x:v>-9.990000000000001E+307</x:v>
      </x:c>
      <x:c r="C91" s="4">
        <x:f>MOD($C$13,$C$5)</x:f>
      </x:c>
      <x:c r="D91" s="4">
        <x:f>MOD($C$13,$C$6)</x:f>
      </x:c>
      <x:c r="E91" s="4">
        <x:f>MOD($C$13,$C$7)</x:f>
      </x:c>
      <x:c r="F91" s="4">
        <x:f>MOD($C$13,$C$8)</x:f>
      </x:c>
      <x:c r="G91" s="4">
        <x:f>MOD($C$13,$C$9)</x:f>
      </x:c>
      <x:c r="H91" s="4">
        <x:f>MOD($C$13,$C$10)</x:f>
      </x:c>
      <x:c r="I91" s="4">
        <x:f>MOD($C$13,$C$11)</x:f>
      </x:c>
      <x:c r="J91" s="4">
        <x:f>MOD($C$13,$C$12)</x:f>
      </x:c>
      <x:c r="K91" s="4">
        <x:f>MOD($C$13,$C$13)</x:f>
      </x:c>
    </x:row>
    <x:row r="92" spans="2:11" x14ac:dyDescent="0.2">
      <x:c r="B92" s="3"/>
      <x:c r="C92" s="3"/>
      <x:c r="D92" s="3"/>
      <x:c r="E92" s="3"/>
      <x:c r="F92" s="3"/>
      <x:c r="G92" s="3"/>
      <x:c r="H92" s="3"/>
      <x:c r="I92" s="3"/>
      <x:c r="J92" s="3"/>
      <x:c r="K92" s="3"/>
    </x:row>
    <x:row r="93" spans="2:11" x14ac:dyDescent="0.2">
      <x:c r="B93" s="3"/>
      <x:c r="C93" s="3"/>
      <x:c r="D93" s="3"/>
      <x:c r="E93" s="3"/>
      <x:c r="F93" s="3"/>
      <x:c r="G93" s="3"/>
      <x:c r="H93" s="3"/>
      <x:c r="I93" s="3"/>
      <x:c r="J93" s="3"/>
      <x:c r="K93" s="3"/>
    </x:row>
    <x:row r="94" spans="2:11" ht="17" thickBot="1" x14ac:dyDescent="0.25">
      <x:c r="B94" s="6" t="s">
        <x:v>18</x:v>
      </x:c>
      <x:c r="C94" s="6"/>
      <x:c r="D94" s="6"/>
      <x:c r="E94" s="6"/>
      <x:c r="F94" s="6"/>
      <x:c r="G94" s="6"/>
      <x:c r="H94" s="6"/>
      <x:c r="I94" s="6"/>
      <x:c r="J94" s="6"/>
      <x:c r="K94" s="6"/>
    </x:row>
    <x:row r="95" spans="2:11" x14ac:dyDescent="0.2">
      <x:c r="B95" s="7" t="s">
        <x:v>12</x:v>
      </x:c>
      <x:c r="C95" s="8">
        <x:v>0</x:v>
      </x:c>
      <x:c r="D95" s="8">
        <x:v>1</x:v>
      </x:c>
      <x:c r="E95" s="8">
        <x:v>-1</x:v>
      </x:c>
      <x:c r="F95" s="8">
        <x:v>42.5</x:v>
      </x:c>
      <x:c r="G95" s="8">
        <x:v>-42.5</x:v>
      </x:c>
      <x:c r="H95" s="9">
        <x:v>9.9999999999999991E-308</x:v>
      </x:c>
      <x:c r="I95" s="9">
        <x:v>-9.9999999999999991E-308</x:v>
      </x:c>
      <x:c r="J95" s="9">
        <x:v>9.990000000000001E+307</x:v>
      </x:c>
      <x:c r="K95" s="9">
        <x:v>-9.990000000000001E+307</x:v>
      </x:c>
    </x:row>
    <x:row r="96" spans="2:11" x14ac:dyDescent="0.2">
      <x:c r="B96" s="12">
        <x:v>0</x:v>
      </x:c>
      <x:c r="C96" s="4">
        <x:f>QUOTIENT($C$5,$C$5)</x:f>
      </x:c>
      <x:c r="D96" s="4">
        <x:f>QUOTIENT($C$5,$C$6)</x:f>
      </x:c>
      <x:c r="E96" s="4">
        <x:f>QUOTIENT($C$5,$C$7)</x:f>
      </x:c>
      <x:c r="F96" s="4">
        <x:f>QUOTIENT($C$5,$C$8)</x:f>
      </x:c>
      <x:c r="G96" s="4">
        <x:f>QUOTIENT($C$5,$C$9)</x:f>
      </x:c>
      <x:c r="H96" s="4">
        <x:f>QUOTIENT($C$5,$C$10)</x:f>
      </x:c>
      <x:c r="I96" s="4">
        <x:f>QUOTIENT($C$5,$C$11)</x:f>
      </x:c>
      <x:c r="J96" s="4">
        <x:f>QUOTIENT($C$5,$C$12)</x:f>
      </x:c>
      <x:c r="K96" s="4">
        <x:f>QUOTIENT($C$5,$C$13)</x:f>
      </x:c>
    </x:row>
    <x:row r="97" spans="2:11" x14ac:dyDescent="0.2">
      <x:c r="B97" s="12">
        <x:v>1</x:v>
      </x:c>
      <x:c r="C97" s="4">
        <x:f>QUOTIENT($C$6,$C$5)</x:f>
      </x:c>
      <x:c r="D97" s="4">
        <x:f>QUOTIENT($C$6,$C$6)</x:f>
      </x:c>
      <x:c r="E97" s="4">
        <x:f>QUOTIENT($C$6,$C$7)</x:f>
      </x:c>
      <x:c r="F97" s="4">
        <x:f>QUOTIENT($C$6,$C$8)</x:f>
      </x:c>
      <x:c r="G97" s="4">
        <x:f>QUOTIENT($C$6,$C$9)</x:f>
      </x:c>
      <x:c r="H97" s="4">
        <x:f>QUOTIENT($C$6,$C$10)</x:f>
      </x:c>
      <x:c r="I97" s="4">
        <x:f>QUOTIENT($C$6,$C$11)</x:f>
      </x:c>
      <x:c r="J97" s="4">
        <x:f>QUOTIENT($C$6,$C$12)</x:f>
      </x:c>
      <x:c r="K97" s="4">
        <x:f>QUOTIENT($C$6,$C$13)</x:f>
      </x:c>
    </x:row>
    <x:row r="98" spans="2:11" x14ac:dyDescent="0.2">
      <x:c r="B98" s="12">
        <x:v>-1</x:v>
      </x:c>
      <x:c r="C98" s="4">
        <x:f>QUOTIENT($C$7,$C$5)</x:f>
      </x:c>
      <x:c r="D98" s="4">
        <x:f>QUOTIENT($C$7,$C$6)</x:f>
      </x:c>
      <x:c r="E98" s="4">
        <x:f>QUOTIENT($C$7,$C$7)</x:f>
      </x:c>
      <x:c r="F98" s="4">
        <x:f>QUOTIENT($C$7,$C$8)</x:f>
      </x:c>
      <x:c r="G98" s="4">
        <x:f>QUOTIENT($C$7,$C$9)</x:f>
      </x:c>
      <x:c r="H98" s="4">
        <x:f>QUOTIENT($C$7,$C$10)</x:f>
      </x:c>
      <x:c r="I98" s="4">
        <x:f>QUOTIENT($C$7,$C$11)</x:f>
      </x:c>
      <x:c r="J98" s="4">
        <x:f>QUOTIENT($C$7,$C$12)</x:f>
      </x:c>
      <x:c r="K98" s="4">
        <x:f>QUOTIENT($C$7,$C$13)</x:f>
      </x:c>
    </x:row>
    <x:row r="99" spans="2:11" x14ac:dyDescent="0.2">
      <x:c r="B99" s="12">
        <x:v>42.5</x:v>
      </x:c>
      <x:c r="C99" s="4">
        <x:f>QUOTIENT($C$8,$C$5)</x:f>
      </x:c>
      <x:c r="D99" s="4">
        <x:f>QUOTIENT($C$8,$C$6)</x:f>
      </x:c>
      <x:c r="E99" s="4">
        <x:f>QUOTIENT($C$8,$C$7)</x:f>
      </x:c>
      <x:c r="F99" s="4">
        <x:f>QUOTIENT($C$8,$C$8)</x:f>
      </x:c>
      <x:c r="G99" s="4">
        <x:f>QUOTIENT($C$8,$C$9)</x:f>
      </x:c>
      <x:c r="H99" s="4">
        <x:f>QUOTIENT($C$8,$C$10)</x:f>
      </x:c>
      <x:c r="I99" s="4">
        <x:f>QUOTIENT($C$8,$C$11)</x:f>
      </x:c>
      <x:c r="J99" s="4">
        <x:f>QUOTIENT($C$8,$C$12)</x:f>
      </x:c>
      <x:c r="K99" s="4">
        <x:f>QUOTIENT($C$8,$C$13)</x:f>
      </x:c>
    </x:row>
    <x:row r="100" spans="2:11" x14ac:dyDescent="0.2">
      <x:c r="B100" s="12">
        <x:v>-42.5</x:v>
      </x:c>
      <x:c r="C100" s="4">
        <x:f>QUOTIENT($C$9,$C$5)</x:f>
      </x:c>
      <x:c r="D100" s="4">
        <x:f>QUOTIENT($C$9,$C$6)</x:f>
      </x:c>
      <x:c r="E100" s="4">
        <x:f>QUOTIENT($C$9,$C$7)</x:f>
      </x:c>
      <x:c r="F100" s="4">
        <x:f>QUOTIENT($C$9,$C$8)</x:f>
      </x:c>
      <x:c r="G100" s="4">
        <x:f>QUOTIENT($C$9,$C$9)</x:f>
      </x:c>
      <x:c r="H100" s="4">
        <x:f>QUOTIENT($C$9,$C$10)</x:f>
      </x:c>
      <x:c r="I100" s="4">
        <x:f>QUOTIENT($C$9,$C$11)</x:f>
      </x:c>
      <x:c r="J100" s="4">
        <x:f>QUOTIENT($C$9,$C$12)</x:f>
      </x:c>
      <x:c r="K100" s="4">
        <x:f>QUOTIENT($C$9,$C$13)</x:f>
      </x:c>
    </x:row>
    <x:row r="101" spans="2:11" x14ac:dyDescent="0.2">
      <x:c r="B101" s="13">
        <x:v>9.9999999999999991E-308</x:v>
      </x:c>
      <x:c r="C101" s="4">
        <x:f>QUOTIENT($C$10,$C$5)</x:f>
      </x:c>
      <x:c r="D101" s="4">
        <x:f>QUOTIENT($C$10,$C$6)</x:f>
      </x:c>
      <x:c r="E101" s="4">
        <x:f>QUOTIENT($C$10,$C$7)</x:f>
      </x:c>
      <x:c r="F101" s="4">
        <x:f>QUOTIENT($C$10,$C$8)</x:f>
      </x:c>
      <x:c r="G101" s="4">
        <x:f>QUOTIENT($C$10,$C$9)</x:f>
      </x:c>
      <x:c r="H101" s="4">
        <x:f>QUOTIENT($C$10,$C$10)</x:f>
      </x:c>
      <x:c r="I101" s="4">
        <x:f>QUOTIENT($C$10,$C$11)</x:f>
      </x:c>
      <x:c r="J101" s="4">
        <x:f>QUOTIENT($C$10,$C$12)</x:f>
      </x:c>
      <x:c r="K101" s="4">
        <x:f>QUOTIENT($C$10,$C$13)</x:f>
      </x:c>
    </x:row>
    <x:row r="102" spans="2:11" x14ac:dyDescent="0.2">
      <x:c r="B102" s="13">
        <x:v>-9.9999999999999991E-308</x:v>
      </x:c>
      <x:c r="C102" s="4">
        <x:f>QUOTIENT($C$11,$C$5)</x:f>
      </x:c>
      <x:c r="D102" s="4">
        <x:f>QUOTIENT($C$11,$C$6)</x:f>
      </x:c>
      <x:c r="E102" s="4">
        <x:f>QUOTIENT($C$11,$C$7)</x:f>
      </x:c>
      <x:c r="F102" s="4">
        <x:f>QUOTIENT($C$11,$C$8)</x:f>
      </x:c>
      <x:c r="G102" s="4">
        <x:f>QUOTIENT($C$11,$C$9)</x:f>
      </x:c>
      <x:c r="H102" s="4">
        <x:f>QUOTIENT($C$11,$C$10)</x:f>
      </x:c>
      <x:c r="I102" s="4">
        <x:f>QUOTIENT($C$11,$C$11)</x:f>
      </x:c>
      <x:c r="J102" s="4">
        <x:f>QUOTIENT($C$11,$C$12)</x:f>
      </x:c>
      <x:c r="K102" s="4">
        <x:f>QUOTIENT($C$11,$C$13)</x:f>
      </x:c>
    </x:row>
    <x:row r="103" spans="2:11" x14ac:dyDescent="0.2">
      <x:c r="B103" s="13">
        <x:v>9.990000000000001E+307</x:v>
      </x:c>
      <x:c r="C103" s="4">
        <x:f>QUOTIENT($C$12,$C$5)</x:f>
      </x:c>
      <x:c r="D103" s="4">
        <x:f>QUOTIENT($C$12,$C$6)</x:f>
      </x:c>
      <x:c r="E103" s="4">
        <x:f>QUOTIENT($C$12,$C$7)</x:f>
      </x:c>
      <x:c r="F103" s="4">
        <x:f>QUOTIENT($C$12,$C$8)</x:f>
      </x:c>
      <x:c r="G103" s="4">
        <x:f>QUOTIENT($C$12,$C$9)</x:f>
      </x:c>
      <x:c r="H103" s="4">
        <x:f>QUOTIENT($C$12,$C$10)</x:f>
      </x:c>
      <x:c r="I103" s="4">
        <x:f>QUOTIENT($C$12,$C$11)</x:f>
      </x:c>
      <x:c r="J103" s="4">
        <x:f>QUOTIENT($C$12,$C$12)</x:f>
      </x:c>
      <x:c r="K103" s="4">
        <x:f>QUOTIENT($C$12,$C$13)</x:f>
      </x:c>
    </x:row>
    <x:row r="104" spans="2:11" x14ac:dyDescent="0.2">
      <x:c r="B104" s="13">
        <x:v>-9.990000000000001E+307</x:v>
      </x:c>
      <x:c r="C104" s="4">
        <x:f>QUOTIENT($C$13,$C$5)</x:f>
      </x:c>
      <x:c r="D104" s="4">
        <x:f>QUOTIENT($C$13,$C$6)</x:f>
      </x:c>
      <x:c r="E104" s="4">
        <x:f>QUOTIENT($C$13,$C$7)</x:f>
      </x:c>
      <x:c r="F104" s="4">
        <x:f>QUOTIENT($C$13,$C$8)</x:f>
      </x:c>
      <x:c r="G104" s="4">
        <x:f>QUOTIENT($C$13,$C$9)</x:f>
      </x:c>
      <x:c r="H104" s="4">
        <x:f>QUOTIENT($C$13,$C$10)</x:f>
      </x:c>
      <x:c r="I104" s="4">
        <x:f>QUOTIENT($C$13,$C$11)</x:f>
      </x:c>
      <x:c r="J104" s="4">
        <x:f>QUOTIENT($C$13,$C$12)</x:f>
      </x:c>
      <x:c r="K104" s="4">
        <x:f>QUOTIENT($C$13,$C$13)</x:f>
      </x:c>
    </x:row>
    <x:row r="105" spans="2:11" x14ac:dyDescent="0.2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</x:row>
    <x:row r="106" spans="2:11" x14ac:dyDescent="0.2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</x:row>
    <x:row r="107" spans="2:11" ht="17" thickBot="1" x14ac:dyDescent="0.25">
      <x:c r="B107" s="5" t="s">
        <x:v>19</x:v>
      </x:c>
      <x:c r="C107" s="5"/>
      <x:c r="D107" s="5"/>
      <x:c r="E107" s="5"/>
      <x:c r="F107" s="5"/>
      <x:c r="G107" s="5"/>
      <x:c r="H107" s="5"/>
      <x:c r="I107" s="5"/>
      <x:c r="J107" s="5"/>
      <x:c r="K107" s="5"/>
    </x:row>
    <x:row r="108" spans="2:11" x14ac:dyDescent="0.2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</x:row>
    <x:row r="109" spans="2:11" x14ac:dyDescent="0.2">
      <x:c r="B109" s="10" t="s">
        <x:v>20</x:v>
      </x:c>
      <x:c r="C109" s="10"/>
      <x:c r="D109" s="10"/>
      <x:c r="E109" s="10"/>
      <x:c r="F109" s="10"/>
      <x:c r="G109" s="10"/>
      <x:c r="H109" s="10"/>
      <x:c r="I109" s="10"/>
      <x:c r="J109" s="10"/>
      <x:c r="K109" s="10"/>
    </x:row>
    <x:row r="110" spans="2:11" x14ac:dyDescent="0.2">
      <x:c r="B110" s="12">
        <x:v>0</x:v>
      </x:c>
      <x:c r="C110" s="4">
        <x:f>ABS($C$5)</x:f>
      </x:c>
      <x:c r="D110" s="4">
        <x:f>SIGN($C$5)</x:f>
      </x:c>
      <x:c r="E110" s="4">
        <x:f>SQRT($C$5)</x:f>
      </x:c>
      <x:c r="F110" s="4">
        <x:f>INT($C$5)</x:f>
      </x:c>
      <x:c r="G110" s="4">
        <x:f>TRUNC($C$5)</x:f>
      </x:c>
      <x:c r="H110" s="4">
        <x:f>EXP($C$5)</x:f>
      </x:c>
      <x:c r="I110" s="4">
        <x:f>LN($C$5)</x:f>
      </x:c>
      <x:c r="J110" s="4">
        <x:f>LOG10($C$5)</x:f>
      </x:c>
      <x:c r="K110" s="4">
        <x:f>FACT($C$5)</x:f>
      </x:c>
    </x:row>
    <x:row r="111" spans="2:11" x14ac:dyDescent="0.2">
      <x:c r="B111" s="12">
        <x:v>1</x:v>
      </x:c>
      <x:c r="C111" s="4">
        <x:f>ABS($C$6)</x:f>
      </x:c>
      <x:c r="D111" s="4">
        <x:f>SIGN($C$6)</x:f>
      </x:c>
      <x:c r="E111" s="4">
        <x:f>SQRT($C$6)</x:f>
      </x:c>
      <x:c r="F111" s="4">
        <x:f>INT($C$6)</x:f>
      </x:c>
      <x:c r="G111" s="4">
        <x:f>TRUNC($C$6)</x:f>
      </x:c>
      <x:c r="H111" s="4">
        <x:f>EXP($C$6)</x:f>
      </x:c>
      <x:c r="I111" s="4">
        <x:f>LN($C$6)</x:f>
      </x:c>
      <x:c r="J111" s="4">
        <x:f>LOG10($C$6)</x:f>
      </x:c>
      <x:c r="K111" s="4">
        <x:f>FACT($C$6)</x:f>
      </x:c>
    </x:row>
    <x:row r="112" spans="2:11" x14ac:dyDescent="0.2">
      <x:c r="B112" s="12">
        <x:v>-1</x:v>
      </x:c>
      <x:c r="C112" s="4">
        <x:f>ABS($C$7)</x:f>
      </x:c>
      <x:c r="D112" s="4">
        <x:f>SIGN($C$7)</x:f>
      </x:c>
      <x:c r="E112" s="4">
        <x:f>SQRT($C$7)</x:f>
      </x:c>
      <x:c r="F112" s="4">
        <x:f>INT($C$7)</x:f>
      </x:c>
      <x:c r="G112" s="4">
        <x:f>TRUNC($C$7)</x:f>
      </x:c>
      <x:c r="H112" s="4">
        <x:f>EXP($C$7)</x:f>
      </x:c>
      <x:c r="I112" s="4">
        <x:f>LN($C$7)</x:f>
      </x:c>
      <x:c r="J112" s="4">
        <x:f>LOG10($C$7)</x:f>
      </x:c>
      <x:c r="K112" s="4">
        <x:f>FACT($C$7)</x:f>
      </x:c>
    </x:row>
    <x:row r="113" spans="2:11" x14ac:dyDescent="0.2">
      <x:c r="B113" s="12">
        <x:v>42.5</x:v>
      </x:c>
      <x:c r="C113" s="4">
        <x:f>ABS($C$8)</x:f>
      </x:c>
      <x:c r="D113" s="4">
        <x:f>SIGN($C$8)</x:f>
      </x:c>
      <x:c r="E113" s="4">
        <x:f>SQRT($C$8)</x:f>
      </x:c>
      <x:c r="F113" s="4">
        <x:f>INT($C$8)</x:f>
      </x:c>
      <x:c r="G113" s="4">
        <x:f>TRUNC($C$8)</x:f>
      </x:c>
      <x:c r="H113" s="4">
        <x:f>EXP($C$8)</x:f>
      </x:c>
      <x:c r="I113" s="4">
        <x:f>LN($C$8)</x:f>
      </x:c>
      <x:c r="J113" s="4">
        <x:f>LOG10($C$8)</x:f>
      </x:c>
      <x:c r="K113" s="4">
        <x:f>FACT($C$8)</x:f>
      </x:c>
    </x:row>
    <x:row r="114" spans="2:11" x14ac:dyDescent="0.2">
      <x:c r="B114" s="12">
        <x:v>-42.5</x:v>
      </x:c>
      <x:c r="C114" s="4">
        <x:f>ABS($C$9)</x:f>
      </x:c>
      <x:c r="D114" s="4">
        <x:f>SIGN($C$9)</x:f>
      </x:c>
      <x:c r="E114" s="4">
        <x:f>SQRT($C$9)</x:f>
      </x:c>
      <x:c r="F114" s="4">
        <x:f>INT($C$9)</x:f>
      </x:c>
      <x:c r="G114" s="4">
        <x:f>TRUNC($C$9)</x:f>
      </x:c>
      <x:c r="H114" s="4">
        <x:f>EXP($C$9)</x:f>
      </x:c>
      <x:c r="I114" s="4">
        <x:f>LN($C$9)</x:f>
      </x:c>
      <x:c r="J114" s="4">
        <x:f>LOG10($C$9)</x:f>
      </x:c>
      <x:c r="K114" s="4">
        <x:f>FACT($C$9)</x:f>
      </x:c>
    </x:row>
    <x:row r="115" spans="2:11" x14ac:dyDescent="0.2">
      <x:c r="B115" s="13">
        <x:v>9.9999999999999991E-308</x:v>
      </x:c>
      <x:c r="C115" s="4">
        <x:f>ABS($C$10)</x:f>
      </x:c>
      <x:c r="D115" s="4">
        <x:f>SIGN($C$10)</x:f>
      </x:c>
      <x:c r="E115" s="4">
        <x:f>SQRT($C$10)</x:f>
      </x:c>
      <x:c r="F115" s="4">
        <x:f>INT($C$10)</x:f>
      </x:c>
      <x:c r="G115" s="4">
        <x:f>TRUNC($C$10)</x:f>
      </x:c>
      <x:c r="H115" s="4">
        <x:f>EXP($C$10)</x:f>
      </x:c>
      <x:c r="I115" s="4">
        <x:f>LN($C$10)</x:f>
      </x:c>
      <x:c r="J115" s="4">
        <x:f>LOG10($C$10)</x:f>
      </x:c>
      <x:c r="K115" s="4">
        <x:f>FACT($C$10)</x:f>
      </x:c>
    </x:row>
    <x:row r="116" spans="2:11" x14ac:dyDescent="0.2">
      <x:c r="B116" s="13">
        <x:v>-9.9999999999999991E-308</x:v>
      </x:c>
      <x:c r="C116" s="4">
        <x:f>ABS($C$11)</x:f>
      </x:c>
      <x:c r="D116" s="4">
        <x:f>SIGN($C$11)</x:f>
      </x:c>
      <x:c r="E116" s="4">
        <x:f>SQRT($C$11)</x:f>
      </x:c>
      <x:c r="F116" s="4">
        <x:f>INT($C$11)</x:f>
      </x:c>
      <x:c r="G116" s="4">
        <x:f>TRUNC($C$11)</x:f>
      </x:c>
      <x:c r="H116" s="4">
        <x:f>EXP($C$11)</x:f>
      </x:c>
      <x:c r="I116" s="4">
        <x:f>LN($C$11)</x:f>
      </x:c>
      <x:c r="J116" s="4">
        <x:f>LOG10($C$11)</x:f>
      </x:c>
      <x:c r="K116" s="4">
        <x:f>FACT($C$11)</x:f>
      </x:c>
    </x:row>
    <x:row r="117" spans="2:11" x14ac:dyDescent="0.2">
      <x:c r="B117" s="13">
        <x:v>9.990000000000001E+307</x:v>
      </x:c>
      <x:c r="C117" s="4">
        <x:f>ABS($C$12)</x:f>
      </x:c>
      <x:c r="D117" s="4">
        <x:f>SIGN($C$12)</x:f>
      </x:c>
      <x:c r="E117" s="4">
        <x:f>SQRT($C$12)</x:f>
      </x:c>
      <x:c r="F117" s="4">
        <x:f>INT($C$12)</x:f>
      </x:c>
      <x:c r="G117" s="4">
        <x:f>TRUNC($C$12)</x:f>
      </x:c>
      <x:c r="H117" s="4">
        <x:f>EXP($C$12)</x:f>
      </x:c>
      <x:c r="I117" s="4">
        <x:f>LN($C$12)</x:f>
      </x:c>
      <x:c r="J117" s="4">
        <x:f>LOG10($C$12)</x:f>
      </x:c>
      <x:c r="K117" s="4">
        <x:f>FACT($C$12)</x:f>
      </x:c>
    </x:row>
    <x:row r="118" spans="2:11" x14ac:dyDescent="0.2">
      <x:c r="B118" s="13">
        <x:v>-9.990000000000001E+307</x:v>
      </x:c>
      <x:c r="C118" s="4">
        <x:f>ABS($C$13)</x:f>
      </x:c>
      <x:c r="D118" s="4">
        <x:f>SIGN($C$13)</x:f>
      </x:c>
      <x:c r="E118" s="4">
        <x:f>SQRT($C$13)</x:f>
      </x:c>
      <x:c r="F118" s="4">
        <x:f>INT($C$13)</x:f>
      </x:c>
      <x:c r="G118" s="4">
        <x:f>TRUNC($C$13)</x:f>
      </x:c>
      <x:c r="H118" s="4">
        <x:f>EXP($C$13)</x:f>
      </x:c>
      <x:c r="I118" s="4">
        <x:f>LN($C$13)</x:f>
      </x:c>
      <x:c r="J118" s="4">
        <x:f>LOG10($C$13)</x:f>
      </x:c>
      <x:c r="K118" s="4">
        <x:f>FACT($C$13)</x:f>
      </x:c>
    </x:row>
    <x:row r="119" spans="2:11" x14ac:dyDescent="0.2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</x:row>
    <x:row r="120" spans="2:11" x14ac:dyDescent="0.2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</x:row>
    <x:row r="121" spans="2:11" ht="17" thickBot="1" x14ac:dyDescent="0.25">
      <x:c r="B121" s="5" t="s">
        <x:v>30</x:v>
      </x:c>
      <x:c r="C121" s="5"/>
      <x:c r="D121" s="5"/>
      <x:c r="E121" s="5"/>
      <x:c r="F121" s="5"/>
      <x:c r="G121" s="5"/>
      <x:c r="H121" s="5"/>
      <x:c r="I121" s="5"/>
      <x:c r="J121" s="5"/>
      <x:c r="K121" s="5"/>
    </x:row>
    <x:row r="122" spans="2:11" x14ac:dyDescent="0.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</x:row>
    <x:row r="123" spans="2:11" ht="17" thickBot="1" x14ac:dyDescent="0.25">
      <x:c r="B123" s="6" t="s">
        <x:v>31</x:v>
      </x:c>
      <x:c r="C123" s="6"/>
      <x:c r="D123" s="6"/>
      <x:c r="E123" s="6"/>
      <x:c r="F123" s="6"/>
      <x:c r="G123" s="6"/>
      <x:c r="H123" s="6"/>
      <x:c r="I123" s="6"/>
      <x:c r="J123" s="6"/>
      <x:c r="K123" s="6"/>
    </x:row>
    <x:row r="124" spans="2:11" x14ac:dyDescent="0.2">
      <x:c r="B124" s="7" t="s">
        <x:v>32</x:v>
      </x:c>
      <x:c r="C124" s="11"/>
      <x:c r="D124" s="11"/>
      <x:c r="E124" s="11"/>
      <x:c r="F124" s="11"/>
      <x:c r="G124" s="11"/>
      <x:c r="H124" s="11"/>
      <x:c r="I124" s="11"/>
      <x:c r="J124" s="11"/>
      <x:c r="K124" s="11"/>
    </x:row>
    <x:row r="125" spans="2:11" x14ac:dyDescent="0.2">
      <x:c r="B125" s="12">
        <x:v>0</x:v>
      </x:c>
      <x:c r="C125" s="4">
        <x:f>ROUND($C$5,-2)</x:f>
      </x:c>
      <x:c r="D125" s="4">
        <x:f>ROUND($C$5,0)</x:f>
      </x:c>
      <x:c r="E125" s="4">
        <x:f>ROUND($C$5,2)</x:f>
      </x:c>
      <x:c r="F125" s="4">
        <x:f>ROUND($C$5,5)</x:f>
      </x:c>
      <x:c r="G125" s="4">
        <x:f>ROUND($C$5,10)</x:f>
      </x:c>
      <x:c r="H125" s="3"/>
      <x:c r="I125" s="3"/>
      <x:c r="J125" s="3"/>
      <x:c r="K125" s="3"/>
    </x:row>
    <x:row r="126" spans="2:11" x14ac:dyDescent="0.2">
      <x:c r="B126" s="12">
        <x:v>1</x:v>
      </x:c>
      <x:c r="C126" s="4">
        <x:f>ROUND($C$6,-2)</x:f>
      </x:c>
      <x:c r="D126" s="4">
        <x:f>ROUND($C$6,0)</x:f>
      </x:c>
      <x:c r="E126" s="4">
        <x:f>ROUND($C$6,2)</x:f>
      </x:c>
      <x:c r="F126" s="4">
        <x:f>ROUND($C$6,5)</x:f>
      </x:c>
      <x:c r="G126" s="4">
        <x:f>ROUND($C$6,10)</x:f>
      </x:c>
      <x:c r="H126" s="3"/>
      <x:c r="I126" s="3"/>
      <x:c r="J126" s="3"/>
      <x:c r="K126" s="3"/>
    </x:row>
    <x:row r="127" spans="2:11" x14ac:dyDescent="0.2">
      <x:c r="B127" s="12">
        <x:v>-1</x:v>
      </x:c>
      <x:c r="C127" s="4">
        <x:f>ROUND($C$7,-2)</x:f>
      </x:c>
      <x:c r="D127" s="4">
        <x:f>ROUND($C$7,0)</x:f>
      </x:c>
      <x:c r="E127" s="4">
        <x:f>ROUND($C$7,2)</x:f>
      </x:c>
      <x:c r="F127" s="4">
        <x:f>ROUND($C$7,5)</x:f>
      </x:c>
      <x:c r="G127" s="4">
        <x:f>ROUND($C$7,10)</x:f>
      </x:c>
      <x:c r="H127" s="3"/>
      <x:c r="I127" s="3"/>
      <x:c r="J127" s="3"/>
      <x:c r="K127" s="3"/>
    </x:row>
    <x:row r="128" spans="2:11" x14ac:dyDescent="0.2">
      <x:c r="B128" s="12">
        <x:v>42.5</x:v>
      </x:c>
      <x:c r="C128" s="4">
        <x:f>ROUND($C$8,-2)</x:f>
      </x:c>
      <x:c r="D128" s="4">
        <x:f>ROUND($C$8,0)</x:f>
      </x:c>
      <x:c r="E128" s="4">
        <x:f>ROUND($C$8,2)</x:f>
      </x:c>
      <x:c r="F128" s="4">
        <x:f>ROUND($C$8,5)</x:f>
      </x:c>
      <x:c r="G128" s="4">
        <x:f>ROUND($C$8,10)</x:f>
      </x:c>
      <x:c r="H128" s="3"/>
      <x:c r="I128" s="3"/>
      <x:c r="J128" s="3"/>
      <x:c r="K128" s="3"/>
    </x:row>
    <x:row r="129" spans="2:11" x14ac:dyDescent="0.2">
      <x:c r="B129" s="12">
        <x:v>-42.5</x:v>
      </x:c>
      <x:c r="C129" s="4">
        <x:f>ROUND($C$9,-2)</x:f>
      </x:c>
      <x:c r="D129" s="4">
        <x:f>ROUND($C$9,0)</x:f>
      </x:c>
      <x:c r="E129" s="4">
        <x:f>ROUND($C$9,2)</x:f>
      </x:c>
      <x:c r="F129" s="4">
        <x:f>ROUND($C$9,5)</x:f>
      </x:c>
      <x:c r="G129" s="4">
        <x:f>ROUND($C$9,10)</x:f>
      </x:c>
      <x:c r="H129" s="3"/>
      <x:c r="I129" s="3"/>
      <x:c r="J129" s="3"/>
      <x:c r="K129" s="3"/>
    </x:row>
    <x:row r="130" spans="2:11" x14ac:dyDescent="0.2">
      <x:c r="B130" s="13">
        <x:v>9.9999999999999991E-308</x:v>
      </x:c>
      <x:c r="C130" s="4">
        <x:f>ROUND($C$10,-2)</x:f>
      </x:c>
      <x:c r="D130" s="4">
        <x:f>ROUND($C$10,0)</x:f>
      </x:c>
      <x:c r="E130" s="4">
        <x:f>ROUND($C$10,2)</x:f>
      </x:c>
      <x:c r="F130" s="4">
        <x:f>ROUND($C$10,5)</x:f>
      </x:c>
      <x:c r="G130" s="4">
        <x:f>ROUND($C$10,10)</x:f>
      </x:c>
      <x:c r="H130" s="3"/>
      <x:c r="I130" s="3"/>
      <x:c r="J130" s="3"/>
      <x:c r="K130" s="3"/>
    </x:row>
    <x:row r="131" spans="2:11" x14ac:dyDescent="0.2">
      <x:c r="B131" s="13">
        <x:v>-9.9999999999999991E-308</x:v>
      </x:c>
      <x:c r="C131" s="4">
        <x:f>ROUND($C$11,-2)</x:f>
      </x:c>
      <x:c r="D131" s="4">
        <x:f>ROUND($C$11,0)</x:f>
      </x:c>
      <x:c r="E131" s="4">
        <x:f>ROUND($C$11,2)</x:f>
      </x:c>
      <x:c r="F131" s="4">
        <x:f>ROUND($C$11,5)</x:f>
      </x:c>
      <x:c r="G131" s="4">
        <x:f>ROUND($C$11,10)</x:f>
      </x:c>
      <x:c r="H131" s="3"/>
      <x:c r="I131" s="3"/>
      <x:c r="J131" s="3"/>
      <x:c r="K131" s="3"/>
    </x:row>
    <x:row r="132" spans="2:11" x14ac:dyDescent="0.2">
      <x:c r="B132" s="13">
        <x:v>9.990000000000001E+307</x:v>
      </x:c>
      <x:c r="C132" s="4">
        <x:f>ROUND($C$12,-2)</x:f>
      </x:c>
      <x:c r="D132" s="4">
        <x:f>ROUND($C$12,0)</x:f>
      </x:c>
      <x:c r="E132" s="4">
        <x:f>ROUND($C$12,2)</x:f>
      </x:c>
      <x:c r="F132" s="4">
        <x:f>ROUND($C$12,5)</x:f>
      </x:c>
      <x:c r="G132" s="4">
        <x:f>ROUND($C$12,10)</x:f>
      </x:c>
      <x:c r="H132" s="3"/>
      <x:c r="I132" s="3"/>
      <x:c r="J132" s="3"/>
      <x:c r="K132" s="3"/>
    </x:row>
    <x:row r="133" spans="2:11" x14ac:dyDescent="0.2">
      <x:c r="B133" s="13">
        <x:v>-9.990000000000001E+307</x:v>
      </x:c>
      <x:c r="C133" s="4">
        <x:f>ROUND($C$13,-2)</x:f>
      </x:c>
      <x:c r="D133" s="4">
        <x:f>ROUND($C$13,0)</x:f>
      </x:c>
      <x:c r="E133" s="4">
        <x:f>ROUND($C$13,2)</x:f>
      </x:c>
      <x:c r="F133" s="4">
        <x:f>ROUND($C$13,5)</x:f>
      </x:c>
      <x:c r="G133" s="4">
        <x:f>ROUND($C$13,10)</x:f>
      </x:c>
      <x:c r="H133" s="3"/>
      <x:c r="I133" s="3"/>
      <x:c r="J133" s="3"/>
      <x:c r="K133" s="3"/>
    </x:row>
    <x:row r="134" spans="2:11" x14ac:dyDescent="0.2"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</x:row>
    <x:row r="135" spans="2:11" x14ac:dyDescent="0.2"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</x:row>
    <x:row r="136" spans="2:11" ht="17" thickBot="1" x14ac:dyDescent="0.25">
      <x:c r="B136" s="6" t="s">
        <x:v>33</x:v>
      </x:c>
      <x:c r="C136" s="6"/>
      <x:c r="D136" s="6"/>
      <x:c r="E136" s="6"/>
      <x:c r="F136" s="6"/>
      <x:c r="G136" s="6"/>
      <x:c r="H136" s="6"/>
      <x:c r="I136" s="6"/>
      <x:c r="J136" s="6"/>
      <x:c r="K136" s="6"/>
    </x:row>
    <x:row r="137" spans="2:11" x14ac:dyDescent="0.2">
      <x:c r="B137" s="7" t="s">
        <x:v>32</x:v>
      </x:c>
      <x:c r="C137" s="11"/>
      <x:c r="D137" s="11"/>
      <x:c r="E137" s="11"/>
      <x:c r="F137" s="11"/>
      <x:c r="G137" s="11"/>
      <x:c r="H137" s="11"/>
      <x:c r="I137" s="11"/>
      <x:c r="J137" s="11"/>
      <x:c r="K137" s="11"/>
    </x:row>
    <x:row r="138" spans="2:11" x14ac:dyDescent="0.2">
      <x:c r="B138" s="12">
        <x:v>0</x:v>
      </x:c>
      <x:c r="C138" s="4">
        <x:f>ROUNDUP($C$5,-2)</x:f>
      </x:c>
      <x:c r="D138" s="4">
        <x:f>ROUNDUP($C$5,0)</x:f>
      </x:c>
      <x:c r="E138" s="4">
        <x:f>ROUNDUP($C$5,2)</x:f>
      </x:c>
      <x:c r="F138" s="4">
        <x:f>ROUNDUP($C$5,5)</x:f>
      </x:c>
      <x:c r="G138" s="4">
        <x:f>ROUNDUP($C$5,10)</x:f>
      </x:c>
      <x:c r="H138" s="3"/>
      <x:c r="I138" s="3"/>
      <x:c r="J138" s="3"/>
      <x:c r="K138" s="3"/>
    </x:row>
    <x:row r="139" spans="2:11" x14ac:dyDescent="0.2">
      <x:c r="B139" s="12">
        <x:v>1</x:v>
      </x:c>
      <x:c r="C139" s="4">
        <x:f>ROUNDUP($C$6,-2)</x:f>
      </x:c>
      <x:c r="D139" s="4">
        <x:f>ROUNDUP($C$6,0)</x:f>
      </x:c>
      <x:c r="E139" s="4">
        <x:f>ROUNDUP($C$6,2)</x:f>
      </x:c>
      <x:c r="F139" s="4">
        <x:f>ROUNDUP($C$6,5)</x:f>
      </x:c>
      <x:c r="G139" s="4">
        <x:f>ROUNDUP($C$6,10)</x:f>
      </x:c>
      <x:c r="H139" s="3"/>
      <x:c r="I139" s="3"/>
      <x:c r="J139" s="3"/>
      <x:c r="K139" s="3"/>
    </x:row>
    <x:row r="140" spans="2:11" x14ac:dyDescent="0.2">
      <x:c r="B140" s="12">
        <x:v>-1</x:v>
      </x:c>
      <x:c r="C140" s="4">
        <x:f>ROUNDUP($C$7,-2)</x:f>
      </x:c>
      <x:c r="D140" s="4">
        <x:f>ROUNDUP($C$7,0)</x:f>
      </x:c>
      <x:c r="E140" s="4">
        <x:f>ROUNDUP($C$7,2)</x:f>
      </x:c>
      <x:c r="F140" s="4">
        <x:f>ROUNDUP($C$7,5)</x:f>
      </x:c>
      <x:c r="G140" s="4">
        <x:f>ROUNDUP($C$7,10)</x:f>
      </x:c>
      <x:c r="H140" s="3"/>
      <x:c r="I140" s="3"/>
      <x:c r="J140" s="3"/>
      <x:c r="K140" s="3"/>
    </x:row>
    <x:row r="141" spans="2:11" x14ac:dyDescent="0.2">
      <x:c r="B141" s="12">
        <x:v>42.5</x:v>
      </x:c>
      <x:c r="C141" s="4">
        <x:f>ROUNDUP($C$8,-2)</x:f>
      </x:c>
      <x:c r="D141" s="4">
        <x:f>ROUNDUP($C$8,0)</x:f>
      </x:c>
      <x:c r="E141" s="4">
        <x:f>ROUNDUP($C$8,2)</x:f>
      </x:c>
      <x:c r="F141" s="4">
        <x:f>ROUNDUP($C$8,5)</x:f>
      </x:c>
      <x:c r="G141" s="4">
        <x:f>ROUNDUP($C$8,10)</x:f>
      </x:c>
      <x:c r="H141" s="3"/>
      <x:c r="I141" s="3"/>
      <x:c r="J141" s="3"/>
      <x:c r="K141" s="3"/>
    </x:row>
    <x:row r="142" spans="2:11" x14ac:dyDescent="0.2">
      <x:c r="B142" s="12">
        <x:v>-42.5</x:v>
      </x:c>
      <x:c r="C142" s="4">
        <x:f>ROUNDUP($C$9,-2)</x:f>
      </x:c>
      <x:c r="D142" s="4">
        <x:f>ROUNDUP($C$9,0)</x:f>
      </x:c>
      <x:c r="E142" s="4">
        <x:f>ROUNDUP($C$9,2)</x:f>
      </x:c>
      <x:c r="F142" s="4">
        <x:f>ROUNDUP($C$9,5)</x:f>
      </x:c>
      <x:c r="G142" s="4">
        <x:f>ROUNDUP($C$9,10)</x:f>
      </x:c>
      <x:c r="H142" s="3"/>
      <x:c r="I142" s="3"/>
      <x:c r="J142" s="3"/>
      <x:c r="K142" s="3"/>
    </x:row>
    <x:row r="143" spans="2:11" x14ac:dyDescent="0.2">
      <x:c r="B143" s="13">
        <x:v>9.9999999999999991E-308</x:v>
      </x:c>
      <x:c r="C143" s="4">
        <x:f>ROUNDUP($C$10,-2)</x:f>
      </x:c>
      <x:c r="D143" s="4">
        <x:f>ROUNDUP($C$10,0)</x:f>
      </x:c>
      <x:c r="E143" s="4">
        <x:f>ROUNDUP($C$10,2)</x:f>
      </x:c>
      <x:c r="F143" s="4">
        <x:f>ROUNDUP($C$10,5)</x:f>
      </x:c>
      <x:c r="G143" s="4">
        <x:f>ROUNDUP($C$10,10)</x:f>
      </x:c>
      <x:c r="H143" s="3"/>
      <x:c r="I143" s="3"/>
      <x:c r="J143" s="3"/>
      <x:c r="K143" s="3"/>
    </x:row>
    <x:row r="144" spans="2:11" x14ac:dyDescent="0.2">
      <x:c r="B144" s="13">
        <x:v>-9.9999999999999991E-308</x:v>
      </x:c>
      <x:c r="C144" s="4">
        <x:f>ROUNDUP($C$11,-2)</x:f>
      </x:c>
      <x:c r="D144" s="4">
        <x:f>ROUNDUP($C$11,0)</x:f>
      </x:c>
      <x:c r="E144" s="4">
        <x:f>ROUNDUP($C$11,2)</x:f>
      </x:c>
      <x:c r="F144" s="4">
        <x:f>ROUNDUP($C$11,5)</x:f>
      </x:c>
      <x:c r="G144" s="4">
        <x:f>ROUNDUP($C$11,10)</x:f>
      </x:c>
      <x:c r="H144" s="3"/>
      <x:c r="I144" s="3"/>
      <x:c r="J144" s="3"/>
      <x:c r="K144" s="3"/>
    </x:row>
    <x:row r="145" spans="2:11" x14ac:dyDescent="0.2">
      <x:c r="B145" s="13">
        <x:v>9.990000000000001E+307</x:v>
      </x:c>
      <x:c r="C145" s="4">
        <x:f>ROUNDUP($C$12,-2)</x:f>
      </x:c>
      <x:c r="D145" s="4">
        <x:f>ROUNDUP($C$12,0)</x:f>
      </x:c>
      <x:c r="E145" s="4">
        <x:f>ROUNDUP($C$12,2)</x:f>
      </x:c>
      <x:c r="F145" s="4">
        <x:f>ROUNDUP($C$12,5)</x:f>
      </x:c>
      <x:c r="G145" s="4">
        <x:f>ROUNDUP($C$12,10)</x:f>
      </x:c>
      <x:c r="H145" s="3"/>
      <x:c r="I145" s="3"/>
      <x:c r="J145" s="3"/>
      <x:c r="K145" s="3"/>
    </x:row>
    <x:row r="146" spans="2:11" x14ac:dyDescent="0.2">
      <x:c r="B146" s="13">
        <x:v>-9.990000000000001E+307</x:v>
      </x:c>
      <x:c r="C146" s="4">
        <x:f>ROUNDUP($C$13,-2)</x:f>
      </x:c>
      <x:c r="D146" s="4">
        <x:f>ROUNDUP($C$13,0)</x:f>
      </x:c>
      <x:c r="E146" s="4">
        <x:f>ROUNDUP($C$13,2)</x:f>
      </x:c>
      <x:c r="F146" s="4">
        <x:f>ROUNDUP($C$13,5)</x:f>
      </x:c>
      <x:c r="G146" s="4">
        <x:f>ROUNDUP($C$13,10)</x:f>
      </x:c>
      <x:c r="H146" s="3"/>
      <x:c r="I146" s="3"/>
      <x:c r="J146" s="3"/>
      <x:c r="K146" s="3"/>
    </x:row>
    <x:row r="147" spans="2:11" x14ac:dyDescent="0.2"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</x:row>
    <x:row r="148" spans="2:11" x14ac:dyDescent="0.2"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</x:row>
    <x:row r="149" spans="2:11" ht="17" thickBot="1" x14ac:dyDescent="0.25">
      <x:c r="B149" s="6" t="s">
        <x:v>34</x:v>
      </x:c>
      <x:c r="C149" s="6"/>
      <x:c r="D149" s="6"/>
      <x:c r="E149" s="6"/>
      <x:c r="F149" s="6"/>
      <x:c r="G149" s="6"/>
      <x:c r="H149" s="6"/>
      <x:c r="I149" s="6"/>
      <x:c r="J149" s="6"/>
      <x:c r="K149" s="6"/>
    </x:row>
    <x:row r="150" spans="2:11" x14ac:dyDescent="0.2">
      <x:c r="B150" s="7" t="s">
        <x:v>32</x:v>
      </x:c>
      <x:c r="C150" s="11"/>
      <x:c r="D150" s="11"/>
      <x:c r="E150" s="11"/>
      <x:c r="F150" s="11"/>
      <x:c r="G150" s="11"/>
      <x:c r="H150" s="11"/>
      <x:c r="I150" s="11"/>
      <x:c r="J150" s="11"/>
      <x:c r="K150" s="11"/>
    </x:row>
    <x:row r="151" spans="2:11" x14ac:dyDescent="0.2">
      <x:c r="B151" s="12">
        <x:v>0</x:v>
      </x:c>
      <x:c r="C151" s="4">
        <x:f>ROUNDDOWN($C$5,-2)</x:f>
      </x:c>
      <x:c r="D151" s="4">
        <x:f>ROUNDDOWN($C$5,0)</x:f>
      </x:c>
      <x:c r="E151" s="4">
        <x:f>ROUNDDOWN($C$5,2)</x:f>
      </x:c>
      <x:c r="F151" s="4">
        <x:f>ROUNDDOWN($C$5,5)</x:f>
      </x:c>
      <x:c r="G151" s="4">
        <x:f>ROUNDDOWN($C$5,10)</x:f>
      </x:c>
      <x:c r="H151" s="3"/>
      <x:c r="I151" s="3"/>
      <x:c r="J151" s="3"/>
      <x:c r="K151" s="3"/>
    </x:row>
    <x:row r="152" spans="2:11" x14ac:dyDescent="0.2">
      <x:c r="B152" s="12">
        <x:v>1</x:v>
      </x:c>
      <x:c r="C152" s="4">
        <x:f>ROUNDDOWN($C$6,-2)</x:f>
      </x:c>
      <x:c r="D152" s="4">
        <x:f>ROUNDDOWN($C$6,0)</x:f>
      </x:c>
      <x:c r="E152" s="4">
        <x:f>ROUNDDOWN($C$6,2)</x:f>
      </x:c>
      <x:c r="F152" s="4">
        <x:f>ROUNDDOWN($C$6,5)</x:f>
      </x:c>
      <x:c r="G152" s="4">
        <x:f>ROUNDDOWN($C$6,10)</x:f>
      </x:c>
      <x:c r="H152" s="3"/>
      <x:c r="I152" s="3"/>
      <x:c r="J152" s="3"/>
      <x:c r="K152" s="3"/>
    </x:row>
    <x:row r="153" spans="2:11" x14ac:dyDescent="0.2">
      <x:c r="B153" s="12">
        <x:v>-1</x:v>
      </x:c>
      <x:c r="C153" s="4">
        <x:f>ROUNDDOWN($C$7,-2)</x:f>
      </x:c>
      <x:c r="D153" s="4">
        <x:f>ROUNDDOWN($C$7,0)</x:f>
      </x:c>
      <x:c r="E153" s="4">
        <x:f>ROUNDDOWN($C$7,2)</x:f>
      </x:c>
      <x:c r="F153" s="4">
        <x:f>ROUNDDOWN($C$7,5)</x:f>
      </x:c>
      <x:c r="G153" s="4">
        <x:f>ROUNDDOWN($C$7,10)</x:f>
      </x:c>
      <x:c r="H153" s="3"/>
      <x:c r="I153" s="3"/>
      <x:c r="J153" s="3"/>
      <x:c r="K153" s="3"/>
    </x:row>
    <x:row r="154" spans="2:11" x14ac:dyDescent="0.2">
      <x:c r="B154" s="12">
        <x:v>42.5</x:v>
      </x:c>
      <x:c r="C154" s="4">
        <x:f>ROUNDDOWN($C$8,-2)</x:f>
      </x:c>
      <x:c r="D154" s="4">
        <x:f>ROUNDDOWN($C$8,0)</x:f>
      </x:c>
      <x:c r="E154" s="4">
        <x:f>ROUNDDOWN($C$8,2)</x:f>
      </x:c>
      <x:c r="F154" s="4">
        <x:f>ROUNDDOWN($C$8,5)</x:f>
      </x:c>
      <x:c r="G154" s="4">
        <x:f>ROUNDDOWN($C$8,10)</x:f>
      </x:c>
      <x:c r="H154" s="3"/>
      <x:c r="I154" s="3"/>
      <x:c r="J154" s="3"/>
      <x:c r="K154" s="3"/>
    </x:row>
    <x:row r="155" spans="2:11" x14ac:dyDescent="0.2">
      <x:c r="B155" s="12">
        <x:v>-42.5</x:v>
      </x:c>
      <x:c r="C155" s="4">
        <x:f>ROUNDDOWN($C$9,-2)</x:f>
      </x:c>
      <x:c r="D155" s="4">
        <x:f>ROUNDDOWN($C$9,0)</x:f>
      </x:c>
      <x:c r="E155" s="4">
        <x:f>ROUNDDOWN($C$9,2)</x:f>
      </x:c>
      <x:c r="F155" s="4">
        <x:f>ROUNDDOWN($C$9,5)</x:f>
      </x:c>
      <x:c r="G155" s="4">
        <x:f>ROUNDDOWN($C$9,10)</x:f>
      </x:c>
      <x:c r="H155" s="3"/>
      <x:c r="I155" s="3"/>
      <x:c r="J155" s="3"/>
      <x:c r="K155" s="3"/>
    </x:row>
    <x:row r="156" spans="2:11" x14ac:dyDescent="0.2">
      <x:c r="B156" s="13">
        <x:v>9.9999999999999991E-308</x:v>
      </x:c>
      <x:c r="C156" s="4">
        <x:f>ROUNDDOWN($C$10,-2)</x:f>
      </x:c>
      <x:c r="D156" s="4">
        <x:f>ROUNDDOWN($C$10,0)</x:f>
      </x:c>
      <x:c r="E156" s="4">
        <x:f>ROUNDDOWN($C$10,2)</x:f>
      </x:c>
      <x:c r="F156" s="4">
        <x:f>ROUNDDOWN($C$10,5)</x:f>
      </x:c>
      <x:c r="G156" s="4">
        <x:f>ROUNDDOWN($C$10,10)</x:f>
      </x:c>
      <x:c r="H156" s="3"/>
      <x:c r="I156" s="3"/>
      <x:c r="J156" s="3"/>
      <x:c r="K156" s="3"/>
    </x:row>
    <x:row r="157" spans="2:11" x14ac:dyDescent="0.2">
      <x:c r="B157" s="13">
        <x:v>-9.9999999999999991E-308</x:v>
      </x:c>
      <x:c r="C157" s="4">
        <x:f>ROUNDDOWN($C$11,-2)</x:f>
      </x:c>
      <x:c r="D157" s="4">
        <x:f>ROUNDDOWN($C$11,0)</x:f>
      </x:c>
      <x:c r="E157" s="4">
        <x:f>ROUNDDOWN($C$11,2)</x:f>
      </x:c>
      <x:c r="F157" s="4">
        <x:f>ROUNDDOWN($C$11,5)</x:f>
      </x:c>
      <x:c r="G157" s="4">
        <x:f>ROUNDDOWN($C$11,10)</x:f>
      </x:c>
      <x:c r="H157" s="3"/>
      <x:c r="I157" s="3"/>
      <x:c r="J157" s="3"/>
      <x:c r="K157" s="3"/>
    </x:row>
    <x:row r="158" spans="2:11" x14ac:dyDescent="0.2">
      <x:c r="B158" s="13">
        <x:v>9.990000000000001E+307</x:v>
      </x:c>
      <x:c r="C158" s="4">
        <x:f>ROUNDDOWN($C$12,-2)</x:f>
      </x:c>
      <x:c r="D158" s="4">
        <x:f>ROUNDDOWN($C$12,0)</x:f>
      </x:c>
      <x:c r="E158" s="4">
        <x:f>ROUNDDOWN($C$12,2)</x:f>
      </x:c>
      <x:c r="F158" s="4">
        <x:f>ROUNDDOWN($C$12,5)</x:f>
      </x:c>
      <x:c r="G158" s="4">
        <x:f>ROUNDDOWN($C$12,10)</x:f>
      </x:c>
      <x:c r="H158" s="3"/>
      <x:c r="I158" s="3"/>
      <x:c r="J158" s="3"/>
      <x:c r="K158" s="3"/>
    </x:row>
    <x:row r="159" spans="2:11" x14ac:dyDescent="0.2">
      <x:c r="B159" s="13">
        <x:v>-9.990000000000001E+307</x:v>
      </x:c>
      <x:c r="C159" s="4">
        <x:f>ROUNDDOWN($C$13,-2)</x:f>
      </x:c>
      <x:c r="D159" s="4">
        <x:f>ROUNDDOWN($C$13,0)</x:f>
      </x:c>
      <x:c r="E159" s="4">
        <x:f>ROUNDDOWN($C$13,2)</x:f>
      </x:c>
      <x:c r="F159" s="4">
        <x:f>ROUNDDOWN($C$13,5)</x:f>
      </x:c>
      <x:c r="G159" s="4">
        <x:f>ROUNDDOWN($C$13,10)</x:f>
      </x:c>
      <x:c r="H159" s="3"/>
      <x:c r="I159" s="3"/>
      <x:c r="J159" s="3"/>
      <x:c r="K159" s="3"/>
    </x:row>
    <x:row r="160" spans="2:11" x14ac:dyDescent="0.2"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</x:row>
    <x:row r="161" spans="2:11" x14ac:dyDescent="0.2"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</x:row>
    <x:row r="162" spans="2:11" ht="17" thickBot="1" x14ac:dyDescent="0.25">
      <x:c r="B162" s="6" t="s">
        <x:v>35</x:v>
      </x:c>
      <x:c r="C162" s="6"/>
      <x:c r="D162" s="6"/>
      <x:c r="E162" s="6"/>
      <x:c r="F162" s="6"/>
      <x:c r="G162" s="6"/>
      <x:c r="H162" s="6"/>
      <x:c r="I162" s="6"/>
      <x:c r="J162" s="6"/>
      <x:c r="K162" s="6"/>
    </x:row>
    <x:row r="163" spans="2:11" x14ac:dyDescent="0.2">
      <x:c r="B163" s="7" t="s">
        <x:v>36</x:v>
      </x:c>
      <x:c r="C163" s="11"/>
      <x:c r="D163" s="11"/>
      <x:c r="E163" s="11"/>
      <x:c r="F163" s="11"/>
      <x:c r="G163" s="11"/>
      <x:c r="H163" s="11"/>
      <x:c r="I163" s="11"/>
      <x:c r="J163" s="11"/>
      <x:c r="K163" s="11"/>
    </x:row>
    <x:row r="164" spans="2:11" x14ac:dyDescent="0.2">
      <x:c r="B164" s="12">
        <x:v>0</x:v>
      </x:c>
      <x:c r="C164" s="4">
        <x:f>_xlfn.CEILING.MATH($C$5,1)</x:f>
      </x:c>
      <x:c r="D164" s="4">
        <x:f>_xlfn.CEILING.MATH($C$5,0.01)</x:f>
      </x:c>
      <x:c r="E164" s="4">
        <x:f>_xlfn.CEILING.MATH($C$5,10)</x:f>
      </x:c>
      <x:c r="F164" s="4">
        <x:f>_xlfn.CEILING.MATH($C$5,100)</x:f>
      </x:c>
      <x:c r="G164" s="4">
        <x:f>_xlfn.CEILING.MATH($C$5,-1)</x:f>
      </x:c>
      <x:c r="H164" s="3"/>
      <x:c r="I164" s="3"/>
      <x:c r="J164" s="3"/>
      <x:c r="K164" s="3"/>
    </x:row>
    <x:row r="165" spans="2:11" x14ac:dyDescent="0.2">
      <x:c r="B165" s="12">
        <x:v>1</x:v>
      </x:c>
      <x:c r="C165" s="4">
        <x:f>_xlfn.CEILING.MATH($C$6,1)</x:f>
      </x:c>
      <x:c r="D165" s="4">
        <x:f>_xlfn.CEILING.MATH($C$6,0.01)</x:f>
      </x:c>
      <x:c r="E165" s="4">
        <x:f>_xlfn.CEILING.MATH($C$6,10)</x:f>
      </x:c>
      <x:c r="F165" s="4">
        <x:f>_xlfn.CEILING.MATH($C$6,100)</x:f>
      </x:c>
      <x:c r="G165" s="4">
        <x:f>_xlfn.CEILING.MATH($C$6,-1)</x:f>
      </x:c>
      <x:c r="H165" s="3"/>
      <x:c r="I165" s="3"/>
      <x:c r="J165" s="3"/>
      <x:c r="K165" s="3"/>
    </x:row>
    <x:row r="166" spans="2:11" x14ac:dyDescent="0.2">
      <x:c r="B166" s="12">
        <x:v>-1</x:v>
      </x:c>
      <x:c r="C166" s="4">
        <x:f>_xlfn.CEILING.MATH($C$7,1)</x:f>
      </x:c>
      <x:c r="D166" s="4">
        <x:f>_xlfn.CEILING.MATH($C$7,0.01)</x:f>
      </x:c>
      <x:c r="E166" s="4">
        <x:f>_xlfn.CEILING.MATH($C$7,10)</x:f>
      </x:c>
      <x:c r="F166" s="4">
        <x:f>_xlfn.CEILING.MATH($C$7,100)</x:f>
      </x:c>
      <x:c r="G166" s="4">
        <x:f>_xlfn.CEILING.MATH($C$7,-1)</x:f>
      </x:c>
      <x:c r="H166" s="3"/>
      <x:c r="I166" s="3"/>
      <x:c r="J166" s="3"/>
      <x:c r="K166" s="3"/>
    </x:row>
    <x:row r="167" spans="2:11" x14ac:dyDescent="0.2">
      <x:c r="B167" s="12">
        <x:v>42.5</x:v>
      </x:c>
      <x:c r="C167" s="4">
        <x:f>_xlfn.CEILING.MATH($C$8,1)</x:f>
      </x:c>
      <x:c r="D167" s="4">
        <x:f>_xlfn.CEILING.MATH($C$8,0.01)</x:f>
      </x:c>
      <x:c r="E167" s="4">
        <x:f>_xlfn.CEILING.MATH($C$8,10)</x:f>
      </x:c>
      <x:c r="F167" s="4">
        <x:f>_xlfn.CEILING.MATH($C$8,100)</x:f>
      </x:c>
      <x:c r="G167" s="4">
        <x:f>_xlfn.CEILING.MATH($C$8,-1)</x:f>
      </x:c>
      <x:c r="H167" s="3"/>
      <x:c r="I167" s="3"/>
      <x:c r="J167" s="3"/>
      <x:c r="K167" s="3"/>
    </x:row>
    <x:row r="168" spans="2:11" x14ac:dyDescent="0.2">
      <x:c r="B168" s="12">
        <x:v>-42.5</x:v>
      </x:c>
      <x:c r="C168" s="4">
        <x:f>_xlfn.CEILING.MATH($C$9,1)</x:f>
      </x:c>
      <x:c r="D168" s="4">
        <x:f>_xlfn.CEILING.MATH($C$9,0.01)</x:f>
      </x:c>
      <x:c r="E168" s="4">
        <x:f>_xlfn.CEILING.MATH($C$9,10)</x:f>
      </x:c>
      <x:c r="F168" s="4">
        <x:f>_xlfn.CEILING.MATH($C$9,100)</x:f>
      </x:c>
      <x:c r="G168" s="4">
        <x:f>_xlfn.CEILING.MATH($C$9,-1)</x:f>
      </x:c>
      <x:c r="H168" s="3"/>
      <x:c r="I168" s="3"/>
      <x:c r="J168" s="3"/>
      <x:c r="K168" s="3"/>
    </x:row>
    <x:row r="169" spans="2:11" x14ac:dyDescent="0.2">
      <x:c r="B169" s="13">
        <x:v>9.9999999999999991E-308</x:v>
      </x:c>
      <x:c r="C169" s="4">
        <x:f>_xlfn.CEILING.MATH($C$10,1)</x:f>
      </x:c>
      <x:c r="D169" s="4">
        <x:f>_xlfn.CEILING.MATH($C$10,0.01)</x:f>
      </x:c>
      <x:c r="E169" s="4">
        <x:f>_xlfn.CEILING.MATH($C$10,10)</x:f>
      </x:c>
      <x:c r="F169" s="4">
        <x:f>_xlfn.CEILING.MATH($C$10,100)</x:f>
      </x:c>
      <x:c r="G169" s="4">
        <x:f>_xlfn.CEILING.MATH($C$10,-1)</x:f>
      </x:c>
      <x:c r="H169" s="3"/>
      <x:c r="I169" s="3"/>
      <x:c r="J169" s="3"/>
      <x:c r="K169" s="3"/>
    </x:row>
    <x:row r="170" spans="2:11" x14ac:dyDescent="0.2">
      <x:c r="B170" s="13">
        <x:v>-9.9999999999999991E-308</x:v>
      </x:c>
      <x:c r="C170" s="4">
        <x:f>_xlfn.CEILING.MATH($C$11,1)</x:f>
      </x:c>
      <x:c r="D170" s="4">
        <x:f>_xlfn.CEILING.MATH($C$11,0.01)</x:f>
      </x:c>
      <x:c r="E170" s="4">
        <x:f>_xlfn.CEILING.MATH($C$11,10)</x:f>
      </x:c>
      <x:c r="F170" s="4">
        <x:f>_xlfn.CEILING.MATH($C$11,100)</x:f>
      </x:c>
      <x:c r="G170" s="4">
        <x:f>_xlfn.CEILING.MATH($C$11,-1)</x:f>
      </x:c>
      <x:c r="H170" s="3"/>
      <x:c r="I170" s="3"/>
      <x:c r="J170" s="3"/>
      <x:c r="K170" s="3"/>
    </x:row>
    <x:row r="171" spans="2:11" x14ac:dyDescent="0.2">
      <x:c r="B171" s="13">
        <x:v>9.990000000000001E+307</x:v>
      </x:c>
      <x:c r="C171" s="4">
        <x:f>_xlfn.CEILING.MATH($C$12,1)</x:f>
      </x:c>
      <x:c r="D171" s="4">
        <x:f>_xlfn.CEILING.MATH($C$12,0.01)</x:f>
      </x:c>
      <x:c r="E171" s="4">
        <x:f>_xlfn.CEILING.MATH($C$12,10)</x:f>
      </x:c>
      <x:c r="F171" s="4">
        <x:f>_xlfn.CEILING.MATH($C$12,100)</x:f>
      </x:c>
      <x:c r="G171" s="4">
        <x:f>_xlfn.CEILING.MATH($C$12,-1)</x:f>
      </x:c>
      <x:c r="H171" s="3"/>
      <x:c r="I171" s="3"/>
      <x:c r="J171" s="3"/>
      <x:c r="K171" s="3"/>
    </x:row>
    <x:row r="172" spans="2:11" x14ac:dyDescent="0.2">
      <x:c r="B172" s="13">
        <x:v>-9.990000000000001E+307</x:v>
      </x:c>
      <x:c r="C172" s="4">
        <x:f>_xlfn.CEILING.MATH($C$13,1)</x:f>
      </x:c>
      <x:c r="D172" s="4">
        <x:f>_xlfn.CEILING.MATH($C$13,0.01)</x:f>
      </x:c>
      <x:c r="E172" s="4">
        <x:f>_xlfn.CEILING.MATH($C$13,10)</x:f>
      </x:c>
      <x:c r="F172" s="4">
        <x:f>_xlfn.CEILING.MATH($C$13,100)</x:f>
      </x:c>
      <x:c r="G172" s="4">
        <x:f>_xlfn.CEILING.MATH($C$13,-1)</x:f>
      </x:c>
      <x:c r="H172" s="3"/>
      <x:c r="I172" s="3"/>
      <x:c r="J172" s="3"/>
      <x:c r="K172" s="3"/>
    </x:row>
    <x:row r="173" spans="2:11" x14ac:dyDescent="0.2"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</x:row>
    <x:row r="174" spans="2:11" x14ac:dyDescent="0.2"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</x:row>
    <x:row r="175" spans="2:11" ht="17" thickBot="1" x14ac:dyDescent="0.25">
      <x:c r="B175" s="6" t="s">
        <x:v>37</x:v>
      </x:c>
      <x:c r="C175" s="6"/>
      <x:c r="D175" s="6"/>
      <x:c r="E175" s="6"/>
      <x:c r="F175" s="6"/>
      <x:c r="G175" s="6"/>
      <x:c r="H175" s="6"/>
      <x:c r="I175" s="6"/>
      <x:c r="J175" s="6"/>
      <x:c r="K175" s="6"/>
    </x:row>
    <x:row r="176" spans="2:11" x14ac:dyDescent="0.2">
      <x:c r="B176" s="7" t="s">
        <x:v>36</x:v>
      </x:c>
      <x:c r="C176" s="11"/>
      <x:c r="D176" s="11"/>
      <x:c r="E176" s="11"/>
      <x:c r="F176" s="11"/>
      <x:c r="G176" s="11"/>
      <x:c r="H176" s="11"/>
      <x:c r="I176" s="11"/>
      <x:c r="J176" s="11"/>
      <x:c r="K176" s="11"/>
    </x:row>
    <x:row r="177" spans="2:11" x14ac:dyDescent="0.2">
      <x:c r="B177" s="12">
        <x:v>0</x:v>
      </x:c>
      <x:c r="C177" s="4">
        <x:f>_xlfn.FLOOR.MATH($C$5,1)</x:f>
      </x:c>
      <x:c r="D177" s="4">
        <x:f>_xlfn.FLOOR.MATH($C$5,0.01)</x:f>
      </x:c>
      <x:c r="E177" s="4">
        <x:f>_xlfn.FLOOR.MATH($C$5,10)</x:f>
      </x:c>
      <x:c r="F177" s="4">
        <x:f>_xlfn.FLOOR.MATH($C$5,100)</x:f>
      </x:c>
      <x:c r="G177" s="4">
        <x:f>_xlfn.FLOOR.MATH($C$5,-1)</x:f>
      </x:c>
      <x:c r="H177" s="3"/>
      <x:c r="I177" s="3"/>
      <x:c r="J177" s="3"/>
      <x:c r="K177" s="3"/>
    </x:row>
    <x:row r="178" spans="2:11" x14ac:dyDescent="0.2">
      <x:c r="B178" s="12">
        <x:v>1</x:v>
      </x:c>
      <x:c r="C178" s="4">
        <x:f>_xlfn.FLOOR.MATH($C$6,1)</x:f>
      </x:c>
      <x:c r="D178" s="4">
        <x:f>_xlfn.FLOOR.MATH($C$6,0.01)</x:f>
      </x:c>
      <x:c r="E178" s="4">
        <x:f>_xlfn.FLOOR.MATH($C$6,10)</x:f>
      </x:c>
      <x:c r="F178" s="4">
        <x:f>_xlfn.FLOOR.MATH($C$6,100)</x:f>
      </x:c>
      <x:c r="G178" s="4">
        <x:f>_xlfn.FLOOR.MATH($C$6,-1)</x:f>
      </x:c>
      <x:c r="H178" s="3"/>
      <x:c r="I178" s="3"/>
      <x:c r="J178" s="3"/>
      <x:c r="K178" s="3"/>
    </x:row>
    <x:row r="179" spans="2:11" x14ac:dyDescent="0.2">
      <x:c r="B179" s="12">
        <x:v>-1</x:v>
      </x:c>
      <x:c r="C179" s="4">
        <x:f>_xlfn.FLOOR.MATH($C$7,1)</x:f>
      </x:c>
      <x:c r="D179" s="4">
        <x:f>_xlfn.FLOOR.MATH($C$7,0.01)</x:f>
      </x:c>
      <x:c r="E179" s="4">
        <x:f>_xlfn.FLOOR.MATH($C$7,10)</x:f>
      </x:c>
      <x:c r="F179" s="4">
        <x:f>_xlfn.FLOOR.MATH($C$7,100)</x:f>
      </x:c>
      <x:c r="G179" s="4">
        <x:f>_xlfn.FLOOR.MATH($C$7,-1)</x:f>
      </x:c>
      <x:c r="H179" s="3"/>
      <x:c r="I179" s="3"/>
      <x:c r="J179" s="3"/>
      <x:c r="K179" s="3"/>
    </x:row>
    <x:row r="180" spans="2:11" x14ac:dyDescent="0.2">
      <x:c r="B180" s="12">
        <x:v>42.5</x:v>
      </x:c>
      <x:c r="C180" s="4">
        <x:f>_xlfn.FLOOR.MATH($C$8,1)</x:f>
      </x:c>
      <x:c r="D180" s="4">
        <x:f>_xlfn.FLOOR.MATH($C$8,0.01)</x:f>
      </x:c>
      <x:c r="E180" s="4">
        <x:f>_xlfn.FLOOR.MATH($C$8,10)</x:f>
      </x:c>
      <x:c r="F180" s="4">
        <x:f>_xlfn.FLOOR.MATH($C$8,100)</x:f>
      </x:c>
      <x:c r="G180" s="4">
        <x:f>_xlfn.FLOOR.MATH($C$8,-1)</x:f>
      </x:c>
      <x:c r="H180" s="3"/>
      <x:c r="I180" s="3"/>
      <x:c r="J180" s="3"/>
      <x:c r="K180" s="3"/>
    </x:row>
    <x:row r="181" spans="2:11" x14ac:dyDescent="0.2">
      <x:c r="B181" s="12">
        <x:v>-42.5</x:v>
      </x:c>
      <x:c r="C181" s="4">
        <x:f>_xlfn.FLOOR.MATH($C$9,1)</x:f>
      </x:c>
      <x:c r="D181" s="4">
        <x:f>_xlfn.FLOOR.MATH($C$9,0.01)</x:f>
      </x:c>
      <x:c r="E181" s="4">
        <x:f>_xlfn.FLOOR.MATH($C$9,10)</x:f>
      </x:c>
      <x:c r="F181" s="4">
        <x:f>_xlfn.FLOOR.MATH($C$9,100)</x:f>
      </x:c>
      <x:c r="G181" s="4">
        <x:f>_xlfn.FLOOR.MATH($C$9,-1)</x:f>
      </x:c>
      <x:c r="H181" s="3"/>
      <x:c r="I181" s="3"/>
      <x:c r="J181" s="3"/>
      <x:c r="K181" s="3"/>
    </x:row>
    <x:row r="182" spans="2:11" x14ac:dyDescent="0.2">
      <x:c r="B182" s="13">
        <x:v>9.9999999999999991E-308</x:v>
      </x:c>
      <x:c r="C182" s="4">
        <x:f>_xlfn.FLOOR.MATH($C$10,1)</x:f>
      </x:c>
      <x:c r="D182" s="4">
        <x:f>_xlfn.FLOOR.MATH($C$10,0.01)</x:f>
      </x:c>
      <x:c r="E182" s="4">
        <x:f>_xlfn.FLOOR.MATH($C$10,10)</x:f>
      </x:c>
      <x:c r="F182" s="4">
        <x:f>_xlfn.FLOOR.MATH($C$10,100)</x:f>
      </x:c>
      <x:c r="G182" s="4">
        <x:f>_xlfn.FLOOR.MATH($C$10,-1)</x:f>
      </x:c>
      <x:c r="H182" s="3"/>
      <x:c r="I182" s="3"/>
      <x:c r="J182" s="3"/>
      <x:c r="K182" s="3"/>
    </x:row>
    <x:row r="183" spans="2:11" x14ac:dyDescent="0.2">
      <x:c r="B183" s="13">
        <x:v>-9.9999999999999991E-308</x:v>
      </x:c>
      <x:c r="C183" s="4">
        <x:f>_xlfn.FLOOR.MATH($C$11,1)</x:f>
      </x:c>
      <x:c r="D183" s="4">
        <x:f>_xlfn.FLOOR.MATH($C$11,0.01)</x:f>
      </x:c>
      <x:c r="E183" s="4">
        <x:f>_xlfn.FLOOR.MATH($C$11,10)</x:f>
      </x:c>
      <x:c r="F183" s="4">
        <x:f>_xlfn.FLOOR.MATH($C$11,100)</x:f>
      </x:c>
      <x:c r="G183" s="4">
        <x:f>_xlfn.FLOOR.MATH($C$11,-1)</x:f>
      </x:c>
      <x:c r="H183" s="3"/>
      <x:c r="I183" s="3"/>
      <x:c r="J183" s="3"/>
      <x:c r="K183" s="3"/>
    </x:row>
    <x:row r="184" spans="2:11" x14ac:dyDescent="0.2">
      <x:c r="B184" s="13">
        <x:v>9.990000000000001E+307</x:v>
      </x:c>
      <x:c r="C184" s="4">
        <x:f>_xlfn.FLOOR.MATH($C$12,1)</x:f>
      </x:c>
      <x:c r="D184" s="4">
        <x:f>_xlfn.FLOOR.MATH($C$12,0.01)</x:f>
      </x:c>
      <x:c r="E184" s="4">
        <x:f>_xlfn.FLOOR.MATH($C$12,10)</x:f>
      </x:c>
      <x:c r="F184" s="4">
        <x:f>_xlfn.FLOOR.MATH($C$12,100)</x:f>
      </x:c>
      <x:c r="G184" s="4">
        <x:f>_xlfn.FLOOR.MATH($C$12,-1)</x:f>
      </x:c>
      <x:c r="H184" s="3"/>
      <x:c r="I184" s="3"/>
      <x:c r="J184" s="3"/>
      <x:c r="K184" s="3"/>
    </x:row>
    <x:row r="185" spans="2:11" x14ac:dyDescent="0.2">
      <x:c r="B185" s="13">
        <x:v>-9.990000000000001E+307</x:v>
      </x:c>
      <x:c r="C185" s="4">
        <x:f>_xlfn.FLOOR.MATH($C$13,1)</x:f>
      </x:c>
      <x:c r="D185" s="4">
        <x:f>_xlfn.FLOOR.MATH($C$13,0.01)</x:f>
      </x:c>
      <x:c r="E185" s="4">
        <x:f>_xlfn.FLOOR.MATH($C$13,10)</x:f>
      </x:c>
      <x:c r="F185" s="4">
        <x:f>_xlfn.FLOOR.MATH($C$13,100)</x:f>
      </x:c>
      <x:c r="G185" s="4">
        <x:f>_xlfn.FLOOR.MATH($C$13,-1)</x:f>
      </x:c>
      <x:c r="H185" s="3"/>
      <x:c r="I185" s="3"/>
      <x:c r="J185" s="3"/>
      <x:c r="K185" s="3"/>
    </x:row>
    <x:row r="186" spans="2:11" x14ac:dyDescent="0.2"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</x:row>
    <x:row r="187" spans="2:11" x14ac:dyDescent="0.2"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</x:row>
    <x:row r="188" spans="2:11" x14ac:dyDescent="0.2"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</x:row>
    <x:row r="190" spans="2:11" ht="17" thickBot="1" x14ac:dyDescent="0.25">
      <x:c r="B190" s="16" t="s">
        <x:v>38</x:v>
      </x:c>
    </x:row>
    <x:row r="191" spans="2:11" x14ac:dyDescent="0.2">
      <x:c r="B191" s="17" t="e">
        <x:v>#DIV/0!</x:v>
      </x:c>
      <x:c r="C191" s="18" t="s">
        <x:v>39</x:v>
      </x:c>
    </x:row>
    <x:row r="192" spans="2:11" x14ac:dyDescent="0.2">
      <x:c r="B192" s="17" t="e">
        <x:v>#NUM!</x:v>
      </x:c>
      <x:c r="C192" s="18" t="s">
        <x:v>40</x:v>
      </x:c>
    </x:row>
    <x:row r="193" spans="2:3" x14ac:dyDescent="0.2">
      <x:c r="B193" s="17" t="e">
        <x:v>#VALUE!</x:v>
      </x:c>
      <x:c r="C193" s="18" t="s">
        <x:v>41</x:v>
      </x:c>
    </x:row>
    <x:row r="194" spans="2:3" x14ac:dyDescent="0.2">
      <x:c r="B194" s="17" t="s">
        <x:v>42</x:v>
      </x:c>
      <x:c r="C194" s="18" t="s">
        <x:v>43</x:v>
      </x:c>
    </x:row>
    <x:row r="1109" spans="3:11" x14ac:dyDescent="0.2">
      <x:c r="C1109" s="2" t="s">
        <x:v>21</x:v>
      </x:c>
      <x:c r="D1109" s="2" t="s">
        <x:v>22</x:v>
      </x:c>
      <x:c r="E1109" s="2" t="s">
        <x:v>23</x:v>
      </x:c>
      <x:c r="F1109" s="2" t="s">
        <x:v>24</x:v>
      </x:c>
      <x:c r="G1109" s="2" t="s">
        <x:v>25</x:v>
      </x:c>
      <x:c r="H1109" s="2" t="s">
        <x:v>26</x:v>
      </x:c>
      <x:c r="I1109" s="2" t="s">
        <x:v>27</x:v>
      </x:c>
      <x:c r="J1109" s="2" t="s">
        <x:v>28</x:v>
      </x:c>
      <x:c r="K1109" s="2" t="s">
        <x:v>29</x:v>
      </x:c>
    </x:row>
    <x:row r="1124" spans="3:7" x14ac:dyDescent="0.2">
      <x:c r="C1124" s="2">
        <x:v>-2</x:v>
      </x:c>
      <x:c r="D1124" s="2">
        <x:v>0</x:v>
      </x:c>
      <x:c r="E1124" s="2">
        <x:v>2</x:v>
      </x:c>
      <x:c r="F1124" s="2">
        <x:v>5</x:v>
      </x:c>
      <x:c r="G1124" s="2">
        <x:v>10</x:v>
      </x:c>
    </x:row>
    <x:row r="1137" spans="3:7" x14ac:dyDescent="0.2">
      <x:c r="C1137" s="2">
        <x:v>-2</x:v>
      </x:c>
      <x:c r="D1137" s="2">
        <x:v>0</x:v>
      </x:c>
      <x:c r="E1137" s="2">
        <x:v>2</x:v>
      </x:c>
      <x:c r="F1137" s="2">
        <x:v>5</x:v>
      </x:c>
      <x:c r="G1137" s="2">
        <x:v>10</x:v>
      </x:c>
    </x:row>
    <x:row r="1150" spans="3:7" x14ac:dyDescent="0.2">
      <x:c r="C1150" s="2">
        <x:v>-2</x:v>
      </x:c>
      <x:c r="D1150" s="2">
        <x:v>0</x:v>
      </x:c>
      <x:c r="E1150" s="2">
        <x:v>2</x:v>
      </x:c>
      <x:c r="F1150" s="2">
        <x:v>5</x:v>
      </x:c>
      <x:c r="G1150" s="2">
        <x:v>10</x:v>
      </x:c>
    </x:row>
    <x:row r="1163" spans="3:7" x14ac:dyDescent="0.2">
      <x:c r="C1163" s="2">
        <x:v>1</x:v>
      </x:c>
      <x:c r="D1163" s="2">
        <x:v>0.01</x:v>
      </x:c>
      <x:c r="E1163" s="2">
        <x:v>10</x:v>
      </x:c>
      <x:c r="F1163" s="2">
        <x:v>100</x:v>
      </x:c>
      <x:c r="G1163" s="2">
        <x:v>-1</x:v>
      </x:c>
    </x:row>
    <x:row r="1176" spans="3:7" x14ac:dyDescent="0.2">
      <x:c r="C1176" s="2">
        <x:v>1</x:v>
      </x:c>
      <x:c r="D1176" s="2">
        <x:v>0.01</x:v>
      </x:c>
      <x:c r="E1176" s="2">
        <x:v>10</x:v>
      </x:c>
      <x:c r="F1176" s="2">
        <x:v>100</x:v>
      </x:c>
      <x:c r="G1176" s="2">
        <x:v>-1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2026-02-09T19:07:54Z</dcterms:created>
  <dcterms:modified xsi:type="dcterms:W3CDTF">2026-02-09T21:10:55Z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1c8e3171-0774-43d3-8e9b-71640d6070b5</vt:lpwstr>
  </property>
</Properties>
</file>