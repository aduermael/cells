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firstSheet="12" activeTab="12"/>
  </bookViews>
  <sheets>
    <sheet r:id="rId1" name="Monthly_Board_Pack" sheetId="1"/>
    <sheet r:id="rId2" name="_Executive_Dashboard" sheetId="2"/>
    <sheet r:id="rId3" name="Variance_Summary" sheetId="3"/>
    <sheet r:id="rId4" name="Forecast_Reconciliation" sheetId="4"/>
    <sheet r:id="rId5" name="Variance_Root_Cause" sheetId="5"/>
    <sheet r:id="rId6" name="Daily_Leasing_Flash" sheetId="6"/>
    <sheet r:id="rId7" name="Portfolio_Summary" sheetId="7"/>
    <sheet r:id="rId8" name="Data_Validation" sheetId="8"/>
    <sheet r:id="rId9" name="Dashboard" sheetId="9"/>
    <sheet r:id="rId10" name="_TOC" sheetId="10"/>
    <sheet r:id="rId11" name="_CSV_Templates" sheetId="11"/>
    <sheet r:id="rId12" name="_KPI_Dictionary" sheetId="12"/>
    <sheet r:id="rId13" name="_Alert_Rules" sheetId="13"/>
    <sheet r:id="rId14" name="_Access_Matrix" sheetId="14"/>
    <sheet r:id="rId15" name="OPS_09_Leasing_OnePager" sheetId="15"/>
    <sheet r:id="rId16" name="MKT_16_Marketing_CPA" sheetId="16"/>
    <sheet r:id="rId17" name="FIN_02_NOI_Pack" sheetId="17"/>
    <sheet r:id="rId18" name="FIN_01_Investor_Pack" sheetId="18"/>
    <sheet r:id="rId19" name="FIN_03_Rent_Roll" sheetId="19"/>
    <sheet r:id="rId20" name="FIN_04_Budget_Variance" sheetId="20"/>
    <sheet r:id="rId21" name="FIN_05_Cash_Flow" sheetId="21"/>
    <sheet r:id="rId22" name="FIN_06_Capex" sheetId="22"/>
    <sheet r:id="rId23" name="FIN_07_Debt_Covenant" sheetId="23"/>
    <sheet r:id="rId24" name="FIN_08_AR_Bad_Debt" sheetId="24"/>
    <sheet r:id="rId25" name="OPS_10_Leasing_Funnel" sheetId="25"/>
    <sheet r:id="rId26" name="OPS_11_Occupancy_Mix" sheetId="26"/>
    <sheet r:id="rId27" name="OPS_12_Renewal_Retention" sheetId="27"/>
    <sheet r:id="rId28" name="OPS_13_Turnover_MakeReady" sheetId="28"/>
    <sheet r:id="rId29" name="OPS_14_Maintenance_WO" sheetId="29"/>
    <sheet r:id="rId30" name="OPS_15_Resident_NPS" sheetId="30"/>
    <sheet r:id="rId31" name="MKT_17_Attribution" sheetId="31"/>
    <sheet r:id="rId32" name="DEV_18_Project_EV" sheetId="32"/>
    <sheet r:id="rId33" name="DEV_19_Cost_Complete" sheetId="33"/>
    <sheet r:id="rId34" name="DEV_20_Entitlement_Risk" sheetId="34"/>
    <sheet r:id="rId35" name="CAP_21_Investor_Quarterly" sheetId="35"/>
    <sheet r:id="rId36" name="ESG_22_Sustainability" sheetId="36"/>
    <sheet r:id="rId37" name="Alert_Dashboard" sheetId="37"/>
    <sheet r:id="rId38" name="Lease_Expiration_Matrix" sheetId="38"/>
    <sheet r:id="rId39" name="Rolling_12M_Forecast" sheetId="39"/>
    <sheet r:id="rId40" name="Sensitivity_Analysis" sheetId="40"/>
    <sheet r:id="rId41" name="Scenario_Comparison" sheetId="41"/>
    <sheet r:id="rId42" name="Variance_Trends" sheetId="42"/>
  </sheets>
  <calcPr calcId="0" iterateCount="100" iterateDelta="0.001"/>
</workbook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8" authorId="0">
      <text>
        <r>
          <rPr>
            <sz val="9"/>
            <color rgb="FF000000"/>
            <rFont val="Arial"/>
            <family val="2"/>
          </rPr>
          <t>Source: 150 Marketplace Rent Roll - Key Res Stats</t>
        </r>
      </text>
    </comment>
    <comment ref="C39" authorId="0">
      <text>
        <r>
          <rPr>
            <sz val="9"/>
            <color rgb="FF000000"/>
            <rFont val="Arial"/>
            <family val="2"/>
          </rPr>
          <t>Enter daily leasing metrics here. Blue cells are inputs.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<sst xmlns="http://schemas.openxmlformats.org/spreadsheetml/2006/main" count="2812" uniqueCount="2812">
  <si>
    <t>PROJECT PATRY</t>
  </si>
  <si>
    <t>MONTHLY BOARD PACK</t>
  </si>
  <si>
    <t>January 2026</t>
  </si>
  <si>
    <t>Prepared for: Board of Directors</t>
  </si>
  <si>
    <t>Generated: January 12, 2026 at 9:41 AM</t>
  </si>
  <si>
    <t>1. EXECUTIVE SUMMARY</t>
  </si>
  <si>
    <t>Total Revenue</t>
  </si>
  <si>
    <t>Net Operating Income</t>
  </si>
  <si>
    <t>NOI Margin</t>
  </si>
  <si>
    <t>Portfolio Occupancy</t>
  </si>
  <si>
    <t>FFO</t>
  </si>
  <si>
    <t>Debt Service Coverage</t>
  </si>
  <si>
    <t>vs Q3: +2.1%</t>
  </si>
  <si>
    <t>vs Plan: +0.4%</t>
  </si>
  <si>
    <t>vs Plan: +1.2%</t>
  </si>
  <si>
    <t>✓ All Pass</t>
  </si>
  <si>
    <t>2. PORTFOLIO PERFORMANCE</t>
  </si>
  <si>
    <t>FINANCIAL METRICS</t>
  </si>
  <si>
    <t>OPERATIONS METRICS</t>
  </si>
  <si>
    <t>Metric</t>
  </si>
  <si>
    <t>YTD Actual</t>
  </si>
  <si>
    <t>YTD Plan</t>
  </si>
  <si>
    <t>Variance</t>
  </si>
  <si>
    <t>Status</t>
  </si>
  <si>
    <t>Plan</t>
  </si>
  <si>
    <t>✗</t>
  </si>
  <si>
    <t>Occupancy %</t>
  </si>
  <si>
    <t>✓</t>
  </si>
  <si>
    <t>Avg NER</t>
  </si>
  <si>
    <t>NOI Margin %</t>
  </si>
  <si>
    <t>Lead→Lease Conv</t>
  </si>
  <si>
    <t>Renewal Rate</t>
  </si>
  <si>
    <t>Same-Store Growth</t>
  </si>
  <si>
    <t>Retention Rate</t>
  </si>
  <si>
    <t>DSCR</t>
  </si>
  <si>
    <t>WO Completion (hrs)</t>
  </si>
  <si>
    <t>3. KEY PERFORMANCE CHARTS</t>
  </si>
  <si>
    <t>12-Month Net Cash Flow Trend</t>
  </si>
  <si>
    <t>Occupancy by Floorplan</t>
  </si>
  <si>
    <t>Month</t>
  </si>
  <si>
    <t>Cash Flow ($M)</t>
  </si>
  <si>
    <t>Floorplan</t>
  </si>
  <si>
    <t>Occupancy</t>
  </si>
  <si>
    <t>Jan</t>
  </si>
  <si>
    <t>Studio</t>
  </si>
  <si>
    <t>Feb</t>
  </si>
  <si>
    <t>1BR</t>
  </si>
  <si>
    <t>Mar</t>
  </si>
  <si>
    <t>1BR+Den</t>
  </si>
  <si>
    <t>Apr</t>
  </si>
  <si>
    <t>2BR</t>
  </si>
  <si>
    <t>May</t>
  </si>
  <si>
    <t>2BR+Den</t>
  </si>
  <si>
    <t>Jun</t>
  </si>
  <si>
    <t>3BR</t>
  </si>
  <si>
    <t>Jul</t>
  </si>
  <si>
    <t>Penthouse</t>
  </si>
  <si>
    <t>Aug</t>
  </si>
  <si>
    <t>Sep</t>
  </si>
  <si>
    <t>Oct</t>
  </si>
  <si>
    <t>Nov</t>
  </si>
  <si>
    <t>Dec</t>
  </si>
  <si>
    <t>can y</t>
  </si>
  <si>
    <t>Marketing Channel Attribution</t>
  </si>
  <si>
    <t>Stage</t>
  </si>
  <si>
    <t>Count</t>
  </si>
  <si>
    <t>Channel</t>
  </si>
  <si>
    <t>Revenue</t>
  </si>
  <si>
    <t>Leads</t>
  </si>
  <si>
    <t>ILS</t>
  </si>
  <si>
    <t>Tours</t>
  </si>
  <si>
    <t>Social</t>
  </si>
  <si>
    <t>Applications</t>
  </si>
  <si>
    <t>PPC</t>
  </si>
  <si>
    <t>Leases</t>
  </si>
  <si>
    <t>Organic</t>
  </si>
  <si>
    <t>Referral</t>
  </si>
  <si>
    <t>4. QUARTERLY VARIANCE ANALYSIS</t>
  </si>
  <si>
    <t>Q4 2025 Actual vs Plan Performance with Management Commentary</t>
  </si>
  <si>
    <t>FINANCIAL VARIANCES</t>
  </si>
  <si>
    <t>OPERATIONS VARIANCES</t>
  </si>
  <si>
    <t>Q4 Actual</t>
  </si>
  <si>
    <t>Q4 Plan</t>
  </si>
  <si>
    <t>Variance $</t>
  </si>
  <si>
    <t>Variance %</t>
  </si>
  <si>
    <t>Actual</t>
  </si>
  <si>
    <t>Var %</t>
  </si>
  <si>
    <t>✗ Unfav</t>
  </si>
  <si>
    <t>✓ Fav</t>
  </si>
  <si>
    <t>FFO per Share</t>
  </si>
  <si>
    <t>Emergency SLA</t>
  </si>
  <si>
    <t>MANAGEMENT COMMENTARY</t>
  </si>
  <si>
    <t>Category</t>
  </si>
  <si>
    <t>Commentary</t>
  </si>
  <si>
    <t>⚠</t>
  </si>
  <si>
    <t>Revenue slightly below plan (-1.1%) due to delayed lease-ups at Parkside Phase II. Expect to recover in Q1 as 15 pending applications convert.</t>
  </si>
  <si>
    <t>NOI Performance</t>
  </si>
  <si>
    <t>NOI exceeded plan by +1.2% driven by lower-than-expected utility costs and successful renegotiation of landscaping contract.</t>
  </si>
  <si>
    <t>Portfolio occupancy at 95.2% vs 94.0% plan (+1.3%). Strong performance across all unit types, with Penthouse achieving 100%.</t>
  </si>
  <si>
    <t>FFO Growth</t>
  </si>
  <si>
    <t>FFO beat plan by +3.7% ($250K). Lower interest expense from recent refinancing contributed $150K; remainder from operating efficiencies.</t>
  </si>
  <si>
    <t>Operational Excellence</t>
  </si>
  <si>
    <t>WO completion improved 19% vs plan (19.4 hrs vs 24 hrs target). New maintenance dispatch system driving efficiency gains.</t>
  </si>
  <si>
    <t>Key Risk</t>
  </si>
  <si>
    <t>AR delinquency at 39.5% requires attention. Collections team implementing new payment plan program to address aged receivables.</t>
  </si>
  <si>
    <t>VARIANCE SUMMARY:</t>
  </si>
  <si>
    <t>Financial: 5/6 Favorable</t>
  </si>
  <si>
    <t>Operations: 6/6 Favorable</t>
  </si>
  <si>
    <t>Overall: AHEAD OF PLAN</t>
  </si>
  <si>
    <t>5. APPENDIX: COMPLIANCE &amp; RISK</t>
  </si>
  <si>
    <t>DEBT COVENANT COMPLIANCE</t>
  </si>
  <si>
    <t>RISK SUMMARY</t>
  </si>
  <si>
    <t>Covenant</t>
  </si>
  <si>
    <t>Type</t>
  </si>
  <si>
    <t>Threshold</t>
  </si>
  <si>
    <t>Current</t>
  </si>
  <si>
    <t>Cushion</t>
  </si>
  <si>
    <t>Risk Category</t>
  </si>
  <si>
    <t>Notes</t>
  </si>
  <si>
    <t>Debt Service Coverage Ratio</t>
  </si>
  <si>
    <t>Minimum</t>
  </si>
  <si>
    <t>✓ PASS</t>
  </si>
  <si>
    <t>Covenant Compliance</t>
  </si>
  <si>
    <t>✓ ALL PASS</t>
  </si>
  <si>
    <t>All 7 covenants in compliance</t>
  </si>
  <si>
    <t>Loan-to-Value</t>
  </si>
  <si>
    <t>Maximum</t>
  </si>
  <si>
    <t>AR Delinquency</t>
  </si>
  <si>
    <t>⚠ 39.5%</t>
  </si>
  <si>
    <t>Above 30% threshold - action needed</t>
  </si>
  <si>
    <t>Debt Yield</t>
  </si>
  <si>
    <t>Development Permits</t>
  </si>
  <si>
    <t>⚠ 1 High Risk</t>
  </si>
  <si>
    <t>Downtown permit pending 35 days</t>
  </si>
  <si>
    <t>Interest Coverage Ratio</t>
  </si>
  <si>
    <t>ESG Targets</t>
  </si>
  <si>
    <t>⚠ 8/8 Behind</t>
  </si>
  <si>
    <t>All sustainability metrics behind target</t>
  </si>
  <si>
    <t>Net Worth Minimum</t>
  </si>
  <si>
    <t>Cash Position</t>
  </si>
  <si>
    <t>✓ 14.8 mo runway</t>
  </si>
  <si>
    <t>Above 12-month minimum</t>
  </si>
  <si>
    <t>Liquidity Requirement</t>
  </si>
  <si>
    <t>Market Conditions</t>
  </si>
  <si>
    <t>✓ Stable</t>
  </si>
  <si>
    <t>No material changes to market</t>
  </si>
  <si>
    <t>Occupancy Minimum</t>
  </si>
  <si>
    <t>CONFIDENTIAL - FOR BOARD USE ONLY</t>
  </si>
  <si>
    <t>Prepared: January 12, 2026 at 9:41 AM</t>
  </si>
  <si>
    <t>Questions: investor-relations@projectpatry.com</t>
  </si>
  <si>
    <t>PROJECT PATRY - EXECUTIVE DASHBOARD</t>
  </si>
  <si>
    <t>January 12, 2026</t>
  </si>
  <si>
    <t>FINANCIAL</t>
  </si>
  <si>
    <t>NOI</t>
  </si>
  <si>
    <t>AR Balance</t>
  </si>
  <si>
    <t>OPERATIONS</t>
  </si>
  <si>
    <t>Avg Turnover Days</t>
  </si>
  <si>
    <t>Open Work Orders</t>
  </si>
  <si>
    <t>Resident NPS</t>
  </si>
  <si>
    <t>MARKETING</t>
  </si>
  <si>
    <t>Total Spend</t>
  </si>
  <si>
    <t>Total Leads</t>
  </si>
  <si>
    <t>Avg CPA</t>
  </si>
  <si>
    <t>New Leases</t>
  </si>
  <si>
    <t>Attributed Revenue</t>
  </si>
  <si>
    <t>Avg ROAS</t>
  </si>
  <si>
    <t>DEVELOPMENT</t>
  </si>
  <si>
    <t>Total Budget</t>
  </si>
  <si>
    <t>Spent to Date</t>
  </si>
  <si>
    <t>Est. to Complete</t>
  </si>
  <si>
    <t>Total Dev Units</t>
  </si>
  <si>
    <t>Total EV</t>
  </si>
  <si>
    <t>Active Permits</t>
  </si>
  <si>
    <t>CAPITAL MARKETS</t>
  </si>
  <si>
    <t>ESG &amp; SUSTAINABILITY</t>
  </si>
  <si>
    <t>Revenue QoQ</t>
  </si>
  <si>
    <t>FFO/Share</t>
  </si>
  <si>
    <t>Energy (kWh/sqft)</t>
  </si>
  <si>
    <t>Waste Diversion</t>
  </si>
  <si>
    <t>ENERGY STAR</t>
  </si>
  <si>
    <t>TREND INDICATORS (12-MONTH)</t>
  </si>
  <si>
    <t>Net Cash Flow</t>
  </si>
  <si>
    <t>Occupancy Trend</t>
  </si>
  <si>
    <t>Revenue Trend</t>
  </si>
  <si>
    <t xml:space="preserve">Generated: </t>
  </si>
  <si>
    <t>Jan 12, 2026 9:41 AM</t>
  </si>
  <si>
    <t>Project Patry Enterprise Reporting System</t>
  </si>
  <si>
    <t>ALERTS &amp; STATUS</t>
  </si>
  <si>
    <t>Covenant Status:</t>
  </si>
  <si>
    <t>✓ ALL COVENANTS PASS</t>
  </si>
  <si>
    <t>AR Delinquency:</t>
  </si>
  <si>
    <t>High Risk Permits:</t>
  </si>
  <si>
    <t>Cash Runway:</t>
  </si>
  <si>
    <t>14.801657785672 months</t>
  </si>
  <si>
    <t>ESG Behind Target:</t>
  </si>
  <si>
    <t>8/8</t>
  </si>
  <si>
    <t>VARIANCE SUMMARY - ALL REPORTS</t>
  </si>
  <si>
    <t>A0 o0 January 12, 2026 | Favorable/Unfavorable Analysis with Executive Commentary</t>
  </si>
  <si>
    <t>Report</t>
  </si>
  <si>
    <t>Key Metric</t>
  </si>
  <si>
    <t>Plan/Target</t>
  </si>
  <si>
    <t>Executive Commentary</t>
  </si>
  <si>
    <t>FINANCIAL REPORTS</t>
  </si>
  <si>
    <t>FIN_01_Investor_Pack</t>
  </si>
  <si>
    <t>FFO (Q4)</t>
  </si>
  <si>
    <t>[Commentary: Enter FFO performance drivers and outlook]</t>
  </si>
  <si>
    <t>FIN_02_NOI_Pack</t>
  </si>
  <si>
    <t>Portfolio NOI</t>
  </si>
  <si>
    <t>[Commentary: Enter NOI margin drivers and cost control measures]</t>
  </si>
  <si>
    <t>FIN_03_Rent_Roll</t>
  </si>
  <si>
    <t>Total Units</t>
  </si>
  <si>
    <t>[Commentary: Enter rent roll changes and lease expiration status]</t>
  </si>
  <si>
    <t>FIN_04_Budget_Variance</t>
  </si>
  <si>
    <t>Total Variance</t>
  </si>
  <si>
    <t>[Commentary: GL-level variance analysis pending data population]</t>
  </si>
  <si>
    <t>FIN_05_Cash_Flow</t>
  </si>
  <si>
    <t>[Commentary: Enter liquidity position and runway analysis]</t>
  </si>
  <si>
    <t>FIN_06_Capex</t>
  </si>
  <si>
    <t>% Budget Spent</t>
  </si>
  <si>
    <t>[Commentary: Enter capex project status and timing]</t>
  </si>
  <si>
    <t>FIN_07_Debt_Covenant</t>
  </si>
  <si>
    <t>✓ Pass</t>
  </si>
  <si>
    <t>[Commentary: Enter covenant headroom and debt strategy]</t>
  </si>
  <si>
    <t>FIN_08_AR_Bad_Debt</t>
  </si>
  <si>
    <t>Delinquency Rate</t>
  </si>
  <si>
    <t>⚠ Alert</t>
  </si>
  <si>
    <t>[Commentary: Enter collections strategy and aged AR actions]</t>
  </si>
  <si>
    <t>OPERATIONS REPORTS</t>
  </si>
  <si>
    <t>OPS_09_Leasing_OnePager</t>
  </si>
  <si>
    <t>MTD Leases</t>
  </si>
  <si>
    <t>[Commentary: Enter leasing velocity and pipeline status]</t>
  </si>
  <si>
    <t>OPS_10_Leasing_Funnel</t>
  </si>
  <si>
    <t>[Commentary: Enter conversion bottlenecks and improvements]</t>
  </si>
  <si>
    <t>OPS_11_Occupancy_Mix</t>
  </si>
  <si>
    <t>[Commentary: Enter unit type performance and absorption]</t>
  </si>
  <si>
    <t>OPS_12_Renewal_Retention</t>
  </si>
  <si>
    <t>[Commentary: Enter renewal trends and concession strategy]</t>
  </si>
  <si>
    <t>OPS_13_Turnover_MakeReady</t>
  </si>
  <si>
    <t>[Commentary: Enter make-ready efficiency and cost drivers]</t>
  </si>
  <si>
    <t>OPS_14_Maintenance_WO</t>
  </si>
  <si>
    <t>Avg WO Completion (hrs)</t>
  </si>
  <si>
    <t>[Commentary: Enter maintenance staffing and SLA performance]</t>
  </si>
  <si>
    <t>OPS_15_Resident_NPS</t>
  </si>
  <si>
    <t>Overall NPS</t>
  </si>
  <si>
    <t>[Commentary: Enter resident satisfaction drivers and detractors]</t>
  </si>
  <si>
    <t>MARKETING REPORTS</t>
  </si>
  <si>
    <t>MKT_16_Marketing_CPA</t>
  </si>
  <si>
    <t>Blended CPA</t>
  </si>
  <si>
    <t>[Commentary: Enter channel efficiency and spend optimization]</t>
  </si>
  <si>
    <t>MKT_17_Attribution</t>
  </si>
  <si>
    <t>[Commentary: Enter attribution model insights and channel mix]</t>
  </si>
  <si>
    <t>DEVELOPMENT REPORTS</t>
  </si>
  <si>
    <t>DEV_18_Project_EV</t>
  </si>
  <si>
    <t>Portfolio EV</t>
  </si>
  <si>
    <t>[Commentary: Enter valuation drivers and cap rate assumptions]</t>
  </si>
  <si>
    <t>DEV_19_Cost_Complete</t>
  </si>
  <si>
    <t>Budget Variance</t>
  </si>
  <si>
    <t>✓ On Track</t>
  </si>
  <si>
    <t>[Commentary: Enter cost drivers and contingency status]</t>
  </si>
  <si>
    <t>DEV_20_Entitlement_Risk</t>
  </si>
  <si>
    <t>High Risk Permits</t>
  </si>
  <si>
    <t>⚠ Risk</t>
  </si>
  <si>
    <t>[Commentary: Enter permit status and mitigation actions]</t>
  </si>
  <si>
    <t>CAPITAL MARKETS REPORTS</t>
  </si>
  <si>
    <t>CAP_21_Investor_Quarterly</t>
  </si>
  <si>
    <t>FFO Growth YoY</t>
  </si>
  <si>
    <t>[Commentary: Enter investor messaging and distribution guidance]</t>
  </si>
  <si>
    <t>ESG REPORTS</t>
  </si>
  <si>
    <t>ESG_22_Sustainability</t>
  </si>
  <si>
    <t>Metrics On Track</t>
  </si>
  <si>
    <t>⚠ Behind</t>
  </si>
  <si>
    <t>[Commentary: Enter sustainability initiatives and progress]</t>
  </si>
  <si>
    <t>VARIANCE SUMMARY DASHBOARD</t>
  </si>
  <si>
    <t>Total Reports:</t>
  </si>
  <si>
    <t>OVERALL STATUS:</t>
  </si>
  <si>
    <t>✓ ON TRACK</t>
  </si>
  <si>
    <t>COMMENTARY GUIDELINES</t>
  </si>
  <si>
    <t>• Favorable variances: Explain drivers, sustainability, and outlook</t>
  </si>
  <si>
    <t>• Unfavorable variances: Root cause, corrective actions, timeline to resolution</t>
  </si>
  <si>
    <t>• Alerts/Risks: Mitigation strategy, escalation status, resource requirements</t>
  </si>
  <si>
    <t>• Use specific numbers and dates; avoid vague language</t>
  </si>
  <si>
    <t>• Reference related reports for cross-functional impacts</t>
  </si>
  <si>
    <t>Last Updated:</t>
  </si>
  <si>
    <t>January 12, 2026 9:41 AM</t>
  </si>
  <si>
    <t>Prepared by:</t>
  </si>
  <si>
    <t>[Enter Name]</t>
  </si>
  <si>
    <t>FORECAST RECONCILIATION &amp; BRIDGE ANALYSIS</t>
  </si>
  <si>
    <t>Tracking Budget → Reforecast → Actual with Variance Explanations | Period: January 2026</t>
  </si>
  <si>
    <t>FORECAST BRIDGE SUMMARY</t>
  </si>
  <si>
    <t>Original Budget</t>
  </si>
  <si>
    <t>RF1 Adjustment</t>
  </si>
  <si>
    <t>RF2 Adjustment</t>
  </si>
  <si>
    <t>Current Forecast</t>
  </si>
  <si>
    <t>RECONCILIATION BY COST CENTER</t>
  </si>
  <si>
    <t>Cost Center</t>
  </si>
  <si>
    <t>Orig Budget</t>
  </si>
  <si>
    <t>RF1 (Q1)</t>
  </si>
  <si>
    <t>RF1 Δ</t>
  </si>
  <si>
    <t>RF2 (Q2)</t>
  </si>
  <si>
    <t>RF2 Δ</t>
  </si>
  <si>
    <t>Curr Fcst</t>
  </si>
  <si>
    <t>Var to CF</t>
  </si>
  <si>
    <t>Variance Explanation</t>
  </si>
  <si>
    <t>REVENUE</t>
  </si>
  <si>
    <t>4100 Rental Revenue</t>
  </si>
  <si>
    <t>Occupancy 95.2% vs 94% plan; faster lease-up at Parkside</t>
  </si>
  <si>
    <t>4200 Other Income</t>
  </si>
  <si>
    <t>Parking revenue below target; pet fees on track</t>
  </si>
  <si>
    <t>4300 Concessions</t>
  </si>
  <si>
    <t>Strong demand reduced need for concessions</t>
  </si>
  <si>
    <t>Revenue Subtotal</t>
  </si>
  <si>
    <t>EXPENSES</t>
  </si>
  <si>
    <t>5100 Payroll &amp; Benefits</t>
  </si>
  <si>
    <t>OT for maint backlog; hiring tech Feb to normalize</t>
  </si>
  <si>
    <t>5200 Repairs &amp; Maint</t>
  </si>
  <si>
    <t>Preventive program reducing reactive repairs</t>
  </si>
  <si>
    <t>5300 Utilities</t>
  </si>
  <si>
    <t>LED retrofit savings; mild weather</t>
  </si>
  <si>
    <t>5400 Insurance</t>
  </si>
  <si>
    <t>Premium increase at renewal; shopping alternatives</t>
  </si>
  <si>
    <t>5500 Property Taxes</t>
  </si>
  <si>
    <t>On budget; appeal filed for 2027</t>
  </si>
  <si>
    <t>5600 Marketing</t>
  </si>
  <si>
    <t>Shifted to digital; higher ROI channels</t>
  </si>
  <si>
    <t>5700 Professional Fees</t>
  </si>
  <si>
    <t>Legal fees for lease dispute (one-time)</t>
  </si>
  <si>
    <t>5800 Admin &amp; General</t>
  </si>
  <si>
    <t>Cost control initiatives effective</t>
  </si>
  <si>
    <t>5900 Contract Services</t>
  </si>
  <si>
    <t>Landscaping scope expansion; renegotiating Q2</t>
  </si>
  <si>
    <t>Expense Subtotal</t>
  </si>
  <si>
    <t>NET OPERATING INCOME</t>
  </si>
  <si>
    <t>MONTHLY FORECAST HISTORY</t>
  </si>
  <si>
    <t>Period</t>
  </si>
  <si>
    <t>RF1</t>
  </si>
  <si>
    <t>RF1 Chg</t>
  </si>
  <si>
    <t>RF2</t>
  </si>
  <si>
    <t>RF2 Chg</t>
  </si>
  <si>
    <t>Fcst Acc</t>
  </si>
  <si>
    <t>Jan-26</t>
  </si>
  <si>
    <t>Strong start; beat all forecasts</t>
  </si>
  <si>
    <t>Feb-26</t>
  </si>
  <si>
    <t>—</t>
  </si>
  <si>
    <t>[Pending]</t>
  </si>
  <si>
    <t>Mar-26</t>
  </si>
  <si>
    <t>Q1 Total</t>
  </si>
  <si>
    <t>Q1 forecast tracking ahead</t>
  </si>
  <si>
    <t>REFORECAST CHANGE LOG</t>
  </si>
  <si>
    <t>RF #</t>
  </si>
  <si>
    <t>Date</t>
  </si>
  <si>
    <t>Impact</t>
  </si>
  <si>
    <t>Description of Change</t>
  </si>
  <si>
    <t>Approved By</t>
  </si>
  <si>
    <t>2026-01-15</t>
  </si>
  <si>
    <t>Increased rental revenue forecast based on Jan occupancy trends (+$15K) and reduced concessions (+$8K)</t>
  </si>
  <si>
    <t>CFO</t>
  </si>
  <si>
    <t>✓ Approved</t>
  </si>
  <si>
    <t>Expense</t>
  </si>
  <si>
    <t>Added payroll for OT (-$2K), increased insurance reserve (-$1K), added legal contingency (-$5K)</t>
  </si>
  <si>
    <t>2026-02-01</t>
  </si>
  <si>
    <t>Further rental income increase based on Feb pipeline (+$5K), parking adjustment (-$2K), concessions (+$2K)</t>
  </si>
  <si>
    <t>Payroll adjustment (-$2K), insurance finalized (-$1K), legal update (-$1K), contracts (-$1K), offset by savings (+$-1K)</t>
  </si>
  <si>
    <t>RF3</t>
  </si>
  <si>
    <t>2026-02-15</t>
  </si>
  <si>
    <t>TBD</t>
  </si>
  <si>
    <t>[Next reforecast scheduled for Feb 15 - will incorporate Jan actuals]</t>
  </si>
  <si>
    <t>Pending</t>
  </si>
  <si>
    <t>⏳ Scheduled</t>
  </si>
  <si>
    <t>Forecast Accuracy Target: 97% | Current: 97.9%</t>
  </si>
  <si>
    <t>Next RF:</t>
  </si>
  <si>
    <t>Feb 15, 2026</t>
  </si>
  <si>
    <t>VARIANCE ROOT CAUSE ANALYSIS</t>
  </si>
  <si>
    <t>Drill-Down Analysis: Monthly Totals → Cost Centers → Transactions | January 2026</t>
  </si>
  <si>
    <t>LEVEL 1: TOTAL VARIANCE SUMMARY</t>
  </si>
  <si>
    <t>Total Variance:</t>
  </si>
  <si>
    <t>Favorable:</t>
  </si>
  <si>
    <t>Unfavorable:</t>
  </si>
  <si>
    <t>Net:</t>
  </si>
  <si>
    <t>LEVEL 2: CATEGORY BREAKDOWN</t>
  </si>
  <si>
    <t>Budget</t>
  </si>
  <si>
    <t>% of Total</t>
  </si>
  <si>
    <t>Driver</t>
  </si>
  <si>
    <t>Root Cause Summary</t>
  </si>
  <si>
    <t>▼ REVENUE</t>
  </si>
  <si>
    <t>Multiple</t>
  </si>
  <si>
    <t>Strong rental income; parking outperformance</t>
  </si>
  <si>
    <t xml:space="preserve">  Rental Income</t>
  </si>
  <si>
    <t>Rate</t>
  </si>
  <si>
    <t>Higher achieved rents vs budget</t>
  </si>
  <si>
    <t xml:space="preserve">  Parking Revenue</t>
  </si>
  <si>
    <t>Volume</t>
  </si>
  <si>
    <t>New parking tier pricing effective</t>
  </si>
  <si>
    <t xml:space="preserve">  Other Income</t>
  </si>
  <si>
    <t>Mix</t>
  </si>
  <si>
    <t>Pet fees and storage rentals up</t>
  </si>
  <si>
    <t>▼ EXPENSES</t>
  </si>
  <si>
    <t>Cost controls effective</t>
  </si>
  <si>
    <t xml:space="preserve">  Payroll &amp; Benefits</t>
  </si>
  <si>
    <t>Delayed hiring; lower overtime</t>
  </si>
  <si>
    <t xml:space="preserve">  Repairs &amp; Maintenance</t>
  </si>
  <si>
    <t>HVAC emergency repairs in Bldg C</t>
  </si>
  <si>
    <t xml:space="preserve">  Utilities</t>
  </si>
  <si>
    <t>Energy efficiency improvements</t>
  </si>
  <si>
    <t xml:space="preserve">  Marketing</t>
  </si>
  <si>
    <t>Timing</t>
  </si>
  <si>
    <t>Campaign shifted to Q2</t>
  </si>
  <si>
    <t xml:space="preserve">  Admin &amp; G&amp;A</t>
  </si>
  <si>
    <t>Contract renegotiations</t>
  </si>
  <si>
    <t xml:space="preserve">  Insurance</t>
  </si>
  <si>
    <t>One-Time</t>
  </si>
  <si>
    <t>Multi-year policy discount</t>
  </si>
  <si>
    <t>LEVEL 3: COST CENTER DRILL-DOWN (Repairs &amp; Maintenance)</t>
  </si>
  <si>
    <t>Owner</t>
  </si>
  <si>
    <t>Action Required</t>
  </si>
  <si>
    <t>Building A - Exterior</t>
  </si>
  <si>
    <t>J. Martinez</t>
  </si>
  <si>
    <t>On track</t>
  </si>
  <si>
    <t>Building B - Interiors</t>
  </si>
  <si>
    <t>Under budget</t>
  </si>
  <si>
    <t>Building C - HVAC</t>
  </si>
  <si>
    <t>T. Williams</t>
  </si>
  <si>
    <t>Emergency compressor replacement</t>
  </si>
  <si>
    <t>Building D - Plumbing</t>
  </si>
  <si>
    <t>Preventive maintenance</t>
  </si>
  <si>
    <t>Common Areas</t>
  </si>
  <si>
    <t>S. Chen</t>
  </si>
  <si>
    <t>Deferred to Q2</t>
  </si>
  <si>
    <t>Landscaping</t>
  </si>
  <si>
    <t>Seasonal savings</t>
  </si>
  <si>
    <t>TOTAL R&amp;M</t>
  </si>
  <si>
    <t>Net unfavorable due to HVAC</t>
  </si>
  <si>
    <t>LEVEL 4: TRANSACTION DETAIL (Building C - HVAC Variance: +$6,800)</t>
  </si>
  <si>
    <t>Vendor</t>
  </si>
  <si>
    <t>Description</t>
  </si>
  <si>
    <t>Amount</t>
  </si>
  <si>
    <t>PO #</t>
  </si>
  <si>
    <t>GL Code</t>
  </si>
  <si>
    <t>01/05/26</t>
  </si>
  <si>
    <t>HVAC Solutions Inc</t>
  </si>
  <si>
    <t>Emergency compressor diagnostic</t>
  </si>
  <si>
    <t>PO-2601</t>
  </si>
  <si>
    <t>6200-301</t>
  </si>
  <si>
    <t>Service</t>
  </si>
  <si>
    <t>After-hours call</t>
  </si>
  <si>
    <t>01/08/26</t>
  </si>
  <si>
    <t>Compressor replacement - parts</t>
  </si>
  <si>
    <t>PO-2605</t>
  </si>
  <si>
    <t>VP Ops</t>
  </si>
  <si>
    <t>Capital</t>
  </si>
  <si>
    <t>RTU-C3 unit failure</t>
  </si>
  <si>
    <t>01/09/26</t>
  </si>
  <si>
    <t>Compressor replacement - labor</t>
  </si>
  <si>
    <t>8-hour install</t>
  </si>
  <si>
    <t>01/12/26</t>
  </si>
  <si>
    <t>TempControl Services</t>
  </si>
  <si>
    <t>Temporary cooling rental</t>
  </si>
  <si>
    <t>PO-2608</t>
  </si>
  <si>
    <t>6200-302</t>
  </si>
  <si>
    <t>Rental</t>
  </si>
  <si>
    <t>3-day rental</t>
  </si>
  <si>
    <t>01/15/26</t>
  </si>
  <si>
    <t>System testing &amp; calibration</t>
  </si>
  <si>
    <t>PO-2612</t>
  </si>
  <si>
    <t>Final commissioning</t>
  </si>
  <si>
    <t>01/20/26</t>
  </si>
  <si>
    <t>Building Systems Co</t>
  </si>
  <si>
    <t>Preventive maintenance - other units</t>
  </si>
  <si>
    <t>PO-2615</t>
  </si>
  <si>
    <t>Scheduled PM</t>
  </si>
  <si>
    <t>TOTAL HVAC SPEND (Jan)</t>
  </si>
  <si>
    <t>Budget: $6,000</t>
  </si>
  <si>
    <t>DRIVER TYPE LEGEND</t>
  </si>
  <si>
    <t>ROOT CAUSE ANALYSIS SUMMARY</t>
  </si>
  <si>
    <t>Quantity-driven variance (more/fewer units, hours, etc.)</t>
  </si>
  <si>
    <t>Primary Driver:</t>
  </si>
  <si>
    <t>One-Time (HVAC failure = 67% of unfavorable)</t>
  </si>
  <si>
    <t>Price-driven variance (higher/lower unit cost)</t>
  </si>
  <si>
    <t>Secondary:</t>
  </si>
  <si>
    <t>Volume variances in labor &amp; maintenance</t>
  </si>
  <si>
    <t>Product/service mix shift affecting margins</t>
  </si>
  <si>
    <t>Offsetting:</t>
  </si>
  <si>
    <t>Rate savings from contract renegotiations</t>
  </si>
  <si>
    <t>Planned spend shifted to different period</t>
  </si>
  <si>
    <t>Recommendation:</t>
  </si>
  <si>
    <t>Increase PM budget for aging equipment</t>
  </si>
  <si>
    <t>Non-recurring item (emergency, settlement, etc.)</t>
  </si>
  <si>
    <t>Risk:</t>
  </si>
  <si>
    <t>Building A HVAC showing similar wear patterns</t>
  </si>
  <si>
    <t>ACTION ITEMS FROM ROOT CAUSE ANALYSIS</t>
  </si>
  <si>
    <t>#</t>
  </si>
  <si>
    <t>Action</t>
  </si>
  <si>
    <t>Due Date</t>
  </si>
  <si>
    <t>Submit capital request for Bldg A HVAC replacement</t>
  </si>
  <si>
    <t>02/15/26</t>
  </si>
  <si>
    <t>In Progress</t>
  </si>
  <si>
    <t>$45K preventive</t>
  </si>
  <si>
    <t>Review vendor contracts for emergency service rates</t>
  </si>
  <si>
    <t>01/31/26</t>
  </si>
  <si>
    <t>Open</t>
  </si>
  <si>
    <t>Est. 15% savings</t>
  </si>
  <si>
    <t>Update preventive maintenance schedule</t>
  </si>
  <si>
    <t>01/25/26</t>
  </si>
  <si>
    <t>Complete</t>
  </si>
  <si>
    <t>Risk mitigation</t>
  </si>
  <si>
    <t>Implement real-time equipment monitoring</t>
  </si>
  <si>
    <t>Q2 2026</t>
  </si>
  <si>
    <t>Planning</t>
  </si>
  <si>
    <t>$20K investment</t>
  </si>
  <si>
    <t>DAILY LEASING FLASH</t>
  </si>
  <si>
    <t>Executive Morning Briefing | Updated: 1/11/2026</t>
  </si>
  <si>
    <t>HEADLINE METRICS</t>
  </si>
  <si>
    <t>NER</t>
  </si>
  <si>
    <t>Lead→Lease</t>
  </si>
  <si>
    <t>LEASING FUNNEL (MTD)</t>
  </si>
  <si>
    <t>MARKETING PERFORMANCE</t>
  </si>
  <si>
    <t>Conversion</t>
  </si>
  <si>
    <t>vs Target</t>
  </si>
  <si>
    <t>Value</t>
  </si>
  <si>
    <t>Total Spend (MTD)</t>
  </si>
  <si>
    <t>Cost Per Lead</t>
  </si>
  <si>
    <t>Cost Per Acquisition</t>
  </si>
  <si>
    <t>LTV:CAC Ratio</t>
  </si>
  <si>
    <t>✓ Healthy</t>
  </si>
  <si>
    <t>⚠ ACTION REQUIRED</t>
  </si>
  <si>
    <t>Priority</t>
  </si>
  <si>
    <t>Alert</t>
  </si>
  <si>
    <t>Due</t>
  </si>
  <si>
    <t>🔴 HIGH</t>
  </si>
  <si>
    <t>Lead Response SLA</t>
  </si>
  <si>
    <t>Contacts &lt;1hr</t>
  </si>
  <si>
    <t>78%</t>
  </si>
  <si>
    <t>&gt;90%</t>
  </si>
  <si>
    <t>Leasing Mgr</t>
  </si>
  <si>
    <t>Today</t>
  </si>
  <si>
    <t>🟡 MED</t>
  </si>
  <si>
    <t>Stale Leads</t>
  </si>
  <si>
    <t>No contact 48hrs</t>
  </si>
  <si>
    <t>&lt;15</t>
  </si>
  <si>
    <t>Leasing Team</t>
  </si>
  <si>
    <t>Tomorrow</t>
  </si>
  <si>
    <t>Expiring Leases</t>
  </si>
  <si>
    <t>No renewal offer</t>
  </si>
  <si>
    <t>Renewals Coord</t>
  </si>
  <si>
    <t>This Week</t>
  </si>
  <si>
    <t>TODAY'S ACTIVITY SNAPSHOT</t>
  </si>
  <si>
    <t>TOP CHANNELS BY LEASES</t>
  </si>
  <si>
    <t>WTD</t>
  </si>
  <si>
    <t>MTD</t>
  </si>
  <si>
    <t>CPA</t>
  </si>
  <si>
    <t>New Leads</t>
  </si>
  <si>
    <t>Direct/Organic</t>
  </si>
  <si>
    <t>Tours Completed</t>
  </si>
  <si>
    <t>Apps Submitted</t>
  </si>
  <si>
    <t>ILS (Apartments.com)</t>
  </si>
  <si>
    <t>Leases Signed</t>
  </si>
  <si>
    <t>Move-Ins</t>
  </si>
  <si>
    <t>Move-Outs</t>
  </si>
  <si>
    <t>Data Sources: OPS_09, OPS_10, OPS_11, MKT_16 | Auto-refreshes daily at 6:00 AM</t>
  </si>
  <si>
    <t>PORTFOLIO SUMMARY DASHBOARD</t>
  </si>
  <si>
    <t>YTD Performance vs Plan | As of January 2026</t>
  </si>
  <si>
    <t>FINANCIAL PERFORMANCE</t>
  </si>
  <si>
    <t>EXECUTIVE SUMMARY</t>
  </si>
  <si>
    <t>Source</t>
  </si>
  <si>
    <t>FIN_01</t>
  </si>
  <si>
    <t>Calculated</t>
  </si>
  <si>
    <t>Same-Store NOI Growth</t>
  </si>
  <si>
    <t>WO Avg Time</t>
  </si>
  <si>
    <t>OPERATIONS PERFORMANCE</t>
  </si>
  <si>
    <t>OPS_11</t>
  </si>
  <si>
    <t>Lead→Lease Conversion</t>
  </si>
  <si>
    <t>OPS_10</t>
  </si>
  <si>
    <t>OPS_12</t>
  </si>
  <si>
    <t>TTM Retention Rate</t>
  </si>
  <si>
    <t>OPS_14</t>
  </si>
  <si>
    <t>Emergency SLA %</t>
  </si>
  <si>
    <t>Total Marketing Spend</t>
  </si>
  <si>
    <t>MKT_16</t>
  </si>
  <si>
    <t>Cost Per Lead (CPL)</t>
  </si>
  <si>
    <t>Cost Per Acquisition (CPA)</t>
  </si>
  <si>
    <t>Total Leases</t>
  </si>
  <si>
    <t>DATA VALIDATION &amp; UPLOAD MONITORING</t>
  </si>
  <si>
    <t>Daily CSV upload status, field mapping validation, and error tracking</t>
  </si>
  <si>
    <t>DAILY UPLOAD STATUS</t>
  </si>
  <si>
    <t>VALIDATION SUMMARY</t>
  </si>
  <si>
    <t>Template</t>
  </si>
  <si>
    <t>File Pattern</t>
  </si>
  <si>
    <t>Expected Frequency</t>
  </si>
  <si>
    <t>Last Upload</t>
  </si>
  <si>
    <t>Records</t>
  </si>
  <si>
    <t>Errors</t>
  </si>
  <si>
    <t>Templates Active</t>
  </si>
  <si>
    <t>RentRoll.csv</t>
  </si>
  <si>
    <t>*_RentRoll.csv</t>
  </si>
  <si>
    <t>Daily 6AM</t>
  </si>
  <si>
    <t>2026-01-11 06:02</t>
  </si>
  <si>
    <t>✓ OK</t>
  </si>
  <si>
    <t>Total Fields Tracked</t>
  </si>
  <si>
    <t>LeasingActivity.csv</t>
  </si>
  <si>
    <t>*_Leasing.csv</t>
  </si>
  <si>
    <t>Daily 6PM</t>
  </si>
  <si>
    <t>2026-01-10 18:15</t>
  </si>
  <si>
    <t>⚠ STALE</t>
  </si>
  <si>
    <t>Check Source</t>
  </si>
  <si>
    <t>Fields Mapped</t>
  </si>
  <si>
    <t>Marketing.csv</t>
  </si>
  <si>
    <t>*_Marketing.csv</t>
  </si>
  <si>
    <t>Weekly Mon</t>
  </si>
  <si>
    <t>2026-01-06 09:00</t>
  </si>
  <si>
    <t>Review Errors</t>
  </si>
  <si>
    <t>Overall Mapping %</t>
  </si>
  <si>
    <t>Maintenance.csv</t>
  </si>
  <si>
    <t>*_Maintenance.csv</t>
  </si>
  <si>
    <t>Daily 7AM</t>
  </si>
  <si>
    <t>2026-01-11 07:05</t>
  </si>
  <si>
    <t>Open Errors</t>
  </si>
  <si>
    <t>Financials.csv</t>
  </si>
  <si>
    <t>*_Financials.csv</t>
  </si>
  <si>
    <t>Monthly 5th</t>
  </si>
  <si>
    <t>2026-01-05 08:30</t>
  </si>
  <si>
    <t>Stale Uploads</t>
  </si>
  <si>
    <t>Overall Quality Score</t>
  </si>
  <si>
    <t>FIELD MAPPING VALIDATION</t>
  </si>
  <si>
    <t>Required Fields</t>
  </si>
  <si>
    <t>Missing</t>
  </si>
  <si>
    <t>Mapping %</t>
  </si>
  <si>
    <t>✓ Complete</t>
  </si>
  <si>
    <t>⚠ Partial</t>
  </si>
  <si>
    <t>ERROR LOG (LAST 7 DAYS)</t>
  </si>
  <si>
    <t>Error Type</t>
  </si>
  <si>
    <t>Field</t>
  </si>
  <si>
    <t>Severity</t>
  </si>
  <si>
    <t>Resolution</t>
  </si>
  <si>
    <t>2026-01-11</t>
  </si>
  <si>
    <t>Missing Value</t>
  </si>
  <si>
    <t>priority</t>
  </si>
  <si>
    <t>Medium</t>
  </si>
  <si>
    <t>2026-01-10</t>
  </si>
  <si>
    <t>Invalid Format</t>
  </si>
  <si>
    <t>spend_amount</t>
  </si>
  <si>
    <t>Low</t>
  </si>
  <si>
    <t>Resolved</t>
  </si>
  <si>
    <t>Corrected source</t>
  </si>
  <si>
    <t>2026-01-09</t>
  </si>
  <si>
    <t>Duplicate Key</t>
  </si>
  <si>
    <t>unit_id</t>
  </si>
  <si>
    <t>High</t>
  </si>
  <si>
    <t>Deduped</t>
  </si>
  <si>
    <t>2026-01-08</t>
  </si>
  <si>
    <t>Out of Range</t>
  </si>
  <si>
    <t>revenue</t>
  </si>
  <si>
    <t>Critical</t>
  </si>
  <si>
    <t>Data corrected</t>
  </si>
  <si>
    <t>2026-01-07</t>
  </si>
  <si>
    <t>Type Mismatch</t>
  </si>
  <si>
    <t>tours_completed</t>
  </si>
  <si>
    <t>Cast to INT</t>
  </si>
  <si>
    <t>DATA QUALITY SCORECARD</t>
  </si>
  <si>
    <t>Target</t>
  </si>
  <si>
    <t>Trend (7d)</t>
  </si>
  <si>
    <t>Completeness (all required fields)</t>
  </si>
  <si>
    <t>⚠ WARN</t>
  </si>
  <si>
    <t>↑ +0.2%</t>
  </si>
  <si>
    <t>Timeliness (on-time uploads)</t>
  </si>
  <si>
    <t>✗ FAIL</t>
  </si>
  <si>
    <t>↓ -20%</t>
  </si>
  <si>
    <t>Accuracy (no errors)</t>
  </si>
  <si>
    <t>↑ +0.5%</t>
  </si>
  <si>
    <t>Consistency (format compliance)</t>
  </si>
  <si>
    <t>→ 0%</t>
  </si>
  <si>
    <t>Uniqueness (no duplicates)</t>
  </si>
  <si>
    <t>↑ +0.1%</t>
  </si>
  <si>
    <t>PATRY ENTERPRISE DASHBOARD</t>
  </si>
  <si>
    <t>Reports by Division | Click sheet tabs to navigate</t>
  </si>
  <si>
    <t>FINANCE &amp; PORTFOLIO</t>
  </si>
  <si>
    <t>Cadence</t>
  </si>
  <si>
    <t>Consolidated Financial Statements / Investor Pack</t>
  </si>
  <si>
    <t>Quarterly</t>
  </si>
  <si>
    <t>Monthly Portfolio NOI Pack</t>
  </si>
  <si>
    <t>Monthly</t>
  </si>
  <si>
    <t>Asset Mgr</t>
  </si>
  <si>
    <t>Rent Roll &amp; Lease Expirations</t>
  </si>
  <si>
    <t>Monthly+Daily</t>
  </si>
  <si>
    <t>Ops</t>
  </si>
  <si>
    <t>Budget vs Actual / Variance Analysis</t>
  </si>
  <si>
    <t>Finance</t>
  </si>
  <si>
    <t>12-Month Cash Flow Forecast &amp; Liquidity</t>
  </si>
  <si>
    <t>Capex Pipeline &amp; Spend vs Budget</t>
  </si>
  <si>
    <t>Debt / Covenant Compliance</t>
  </si>
  <si>
    <t>Accounts Receivable &amp; Bad Debt Rollup</t>
  </si>
  <si>
    <t>LEASING / OPS / MARKETING</t>
  </si>
  <si>
    <t>Property Leasing One-Pager</t>
  </si>
  <si>
    <t>Daily</t>
  </si>
  <si>
    <t>Ops Mgr</t>
  </si>
  <si>
    <t>Leasing Funnel &amp; Conversion Dashboard</t>
  </si>
  <si>
    <t>Leasing Dir</t>
  </si>
  <si>
    <t>Occupancy &amp; Unit Mix / Floorplan Performance</t>
  </si>
  <si>
    <t>Renewal &amp; Retention Report</t>
  </si>
  <si>
    <t>Ops Dir</t>
  </si>
  <si>
    <t>Turnover &amp; Make-Ready Cost Report</t>
  </si>
  <si>
    <t>Maintenance Work Order &amp; Backlog</t>
  </si>
  <si>
    <t>Maint Dir</t>
  </si>
  <si>
    <t>Resident Satisfaction &amp; NPS</t>
  </si>
  <si>
    <t>Marketing Performance &amp; CPA Dashboard</t>
  </si>
  <si>
    <t>Mkt Dir</t>
  </si>
  <si>
    <t>Source-to-Lease Attribution</t>
  </si>
  <si>
    <t>DEVELOPMENT / CONSTRUCTION</t>
  </si>
  <si>
    <t>Project Status &amp; Earned Value Report</t>
  </si>
  <si>
    <t>Weekly</t>
  </si>
  <si>
    <t>Dev Dir</t>
  </si>
  <si>
    <t>Cost to Complete / Cashflow by Project</t>
  </si>
  <si>
    <t>Entitlement &amp; Risk Register</t>
  </si>
  <si>
    <t>CAPITAL MARKETS / GOVERNANCE / ESG</t>
  </si>
  <si>
    <t>Investor Quarterly Pack &amp; Asset Highlights</t>
  </si>
  <si>
    <t>IR</t>
  </si>
  <si>
    <t>ESG / Sustainability &amp; Safety Report</t>
  </si>
  <si>
    <t>ESG Mgr</t>
  </si>
  <si>
    <t>SUGGESTED ADDITIONAL REPORTS</t>
  </si>
  <si>
    <t>Division</t>
  </si>
  <si>
    <t>Tax &amp; 1099 Reporting Pack</t>
  </si>
  <si>
    <t>Annual</t>
  </si>
  <si>
    <t>Insurance Renewal &amp; Claims Tracker</t>
  </si>
  <si>
    <t>Utility Cost Analysis &amp; Benchmarking</t>
  </si>
  <si>
    <t>Competitor Market Survey</t>
  </si>
  <si>
    <t>Leasing</t>
  </si>
  <si>
    <t>Amenity Utilization Report</t>
  </si>
  <si>
    <t>Lease Audit &amp; Compliance</t>
  </si>
  <si>
    <t>Vendor Performance Scorecard</t>
  </si>
  <si>
    <t>Staff Productivity &amp; Training</t>
  </si>
  <si>
    <t>Reputation Management (Reviews)</t>
  </si>
  <si>
    <t>Marketing</t>
  </si>
  <si>
    <t>SEO &amp; Organic Traffic Report</t>
  </si>
  <si>
    <t>Social Media Engagement</t>
  </si>
  <si>
    <t>Permit &amp; Inspection Tracker</t>
  </si>
  <si>
    <t>Development</t>
  </si>
  <si>
    <t>Contractor Payment Application Log</t>
  </si>
  <si>
    <t>Board Meeting Materials Pack</t>
  </si>
  <si>
    <t>Governance</t>
  </si>
  <si>
    <t>Insurance Coverage Summary</t>
  </si>
  <si>
    <t>Legal &amp; Litigation Tracker</t>
  </si>
  <si>
    <t>ENERGY STAR Benchmarking</t>
  </si>
  <si>
    <t>ESG</t>
  </si>
  <si>
    <t>Diversity &amp; Inclusion Report</t>
  </si>
  <si>
    <t>COMBINED EXECUTIVE PACKS (Multi-Report Bundles)</t>
  </si>
  <si>
    <t>Pack</t>
  </si>
  <si>
    <t>Included Reports</t>
  </si>
  <si>
    <t>Audience</t>
  </si>
  <si>
    <t>Weekly Ops Deck</t>
  </si>
  <si>
    <t>#9,10,14,16 (Leasing, Funnel, Maint, Marketing)</t>
  </si>
  <si>
    <t>Ops Director</t>
  </si>
  <si>
    <t>Monthly Asset Review</t>
  </si>
  <si>
    <t>#2,3,4,11,12,13 (NOI, Rent Roll, Variance, Occ, Renewal, Turn)</t>
  </si>
  <si>
    <t>Asset Manager</t>
  </si>
  <si>
    <t>Quarterly Board Pack</t>
  </si>
  <si>
    <t>#1,2,7,21,22 (Investor, NOI, Covenant, IR, ESG)</t>
  </si>
  <si>
    <t>Board/Investors</t>
  </si>
  <si>
    <t>Daily Leasing Flash</t>
  </si>
  <si>
    <t>#9,10,16 (One-Pager, Funnel, CPA)</t>
  </si>
  <si>
    <t>Monthly Marketing ROI</t>
  </si>
  <si>
    <t>#16,17,31,32 (CPA, Attribution, Reviews, SEO)</t>
  </si>
  <si>
    <t>CMO</t>
  </si>
  <si>
    <t>Development Status Pack</t>
  </si>
  <si>
    <t>#18,19,20,34 (EV, Cost, Risk, Permits)</t>
  </si>
  <si>
    <t>Dev Director</t>
  </si>
  <si>
    <t>Annual Investor Report</t>
  </si>
  <si>
    <t>#1,21,22,37 (Financials, IR Pack, ESG, Insurance)</t>
  </si>
  <si>
    <t>Investors</t>
  </si>
  <si>
    <t>PATRY ENTERPRISE REPORTING SYSTEM - ARCHITECTURE SPECIFICATION</t>
  </si>
  <si>
    <t>Version 1.0 | Created: January 11, 2026 | 22 Reports | Daily Update Cadence</t>
  </si>
  <si>
    <t>TABLE OF CONTENTS</t>
  </si>
  <si>
    <t>Sheet Name</t>
  </si>
  <si>
    <t>Report Title</t>
  </si>
  <si>
    <t>Capital Mkts</t>
  </si>
  <si>
    <t>SYSTEM SHEETS</t>
  </si>
  <si>
    <t>SYS</t>
  </si>
  <si>
    <t>_CSV_Templates</t>
  </si>
  <si>
    <t>CSV Upload Templates &amp; Schemas</t>
  </si>
  <si>
    <t>Data Ingestion</t>
  </si>
  <si>
    <t>Admin</t>
  </si>
  <si>
    <t>_KPI_Dictionary</t>
  </si>
  <si>
    <t>KPI Definitions &amp; Business Rules</t>
  </si>
  <si>
    <t>Reference</t>
  </si>
  <si>
    <t>_Alert_Rules</t>
  </si>
  <si>
    <t>Alert Thresholds &amp; Notification Rules</t>
  </si>
  <si>
    <t>Alerting</t>
  </si>
  <si>
    <t>_Access_Matrix</t>
  </si>
  <si>
    <t>Role-Based Access &amp; Distribution</t>
  </si>
  <si>
    <t>_Validation_Log</t>
  </si>
  <si>
    <t>Data Validation &amp; Reconciliation Log</t>
  </si>
  <si>
    <t>Quality</t>
  </si>
  <si>
    <t>System</t>
  </si>
  <si>
    <t>CSV UPLOAD TEMPLATES &amp; DATA SCHEMAS</t>
  </si>
  <si>
    <t>File naming: YYYYMMDD_&lt;PropertyID&gt;_&lt;DataType&gt;.csv | Example: 20260115_150Marketplace_Leasing.csv</t>
  </si>
  <si>
    <t>TEMPLATE 1: RentRoll.csv</t>
  </si>
  <si>
    <t>Field Name</t>
  </si>
  <si>
    <t>Data Type</t>
  </si>
  <si>
    <t>Required</t>
  </si>
  <si>
    <t>Validation Rule</t>
  </si>
  <si>
    <t>Example</t>
  </si>
  <si>
    <t>property_id</t>
  </si>
  <si>
    <t>STRING</t>
  </si>
  <si>
    <t>Yes</t>
  </si>
  <si>
    <t>Non-empty, valid property code</t>
  </si>
  <si>
    <t>150MKT</t>
  </si>
  <si>
    <t>Unique property identifier</t>
  </si>
  <si>
    <t>property_name</t>
  </si>
  <si>
    <t>Non-empty</t>
  </si>
  <si>
    <t>150 Marketplace</t>
  </si>
  <si>
    <t>Full property name</t>
  </si>
  <si>
    <t>Unique per property</t>
  </si>
  <si>
    <t>Unit number</t>
  </si>
  <si>
    <t>unit_type</t>
  </si>
  <si>
    <t>Studio|1BR|1BR+Den|2BR|3BR</t>
  </si>
  <si>
    <t>Floorplan category</t>
  </si>
  <si>
    <t>sqft</t>
  </si>
  <si>
    <t>INTEGER</t>
  </si>
  <si>
    <t>&gt;0 and &lt;10000</t>
  </si>
  <si>
    <t>Unit square footage</t>
  </si>
  <si>
    <t>floor</t>
  </si>
  <si>
    <t>No</t>
  </si>
  <si>
    <t>&gt;=0</t>
  </si>
  <si>
    <t>Floor number</t>
  </si>
  <si>
    <t>status</t>
  </si>
  <si>
    <t>Leased|Available|Notice|Down|Model</t>
  </si>
  <si>
    <t>Leased</t>
  </si>
  <si>
    <t>Current unit status</t>
  </si>
  <si>
    <t>lease_start_date</t>
  </si>
  <si>
    <t>DATE</t>
  </si>
  <si>
    <t>Cond</t>
  </si>
  <si>
    <t>YYYY-MM-DD, if Leased</t>
  </si>
  <si>
    <t>2025-06-01</t>
  </si>
  <si>
    <t>Current lease start</t>
  </si>
  <si>
    <t>lease_end_date</t>
  </si>
  <si>
    <t>YYYY-MM-DD, &gt;= lease_start</t>
  </si>
  <si>
    <t>2026-05-31</t>
  </si>
  <si>
    <t>Current lease end</t>
  </si>
  <si>
    <t>contract_rent</t>
  </si>
  <si>
    <t>DECIMAL</t>
  </si>
  <si>
    <t>&gt;0 if Leased</t>
  </si>
  <si>
    <t>Monthly contract rent</t>
  </si>
  <si>
    <t>market_rent</t>
  </si>
  <si>
    <t>&gt;0</t>
  </si>
  <si>
    <t>Current market/asking rent</t>
  </si>
  <si>
    <t>concession_monthly</t>
  </si>
  <si>
    <t>Monthly concession amount</t>
  </si>
  <si>
    <t>net_effective_rent</t>
  </si>
  <si>
    <t>Calc</t>
  </si>
  <si>
    <t>contract-(concession/term)</t>
  </si>
  <si>
    <t>NER calculation</t>
  </si>
  <si>
    <t>resident_id</t>
  </si>
  <si>
    <t>If Leased</t>
  </si>
  <si>
    <t>RES-45678</t>
  </si>
  <si>
    <t>Resident identifier</t>
  </si>
  <si>
    <t>move_in_date</t>
  </si>
  <si>
    <t>YYYY-MM-DD if occupied</t>
  </si>
  <si>
    <t>2025-06-15</t>
  </si>
  <si>
    <t>Actual move-in</t>
  </si>
  <si>
    <t>timestamp</t>
  </si>
  <si>
    <t>DATETIME</t>
  </si>
  <si>
    <t>ISO 8601</t>
  </si>
  <si>
    <t>2026-01-11T09:00:00</t>
  </si>
  <si>
    <t>Extraction time</t>
  </si>
  <si>
    <t>TEMPLATE 2: LeasingActivity.csv</t>
  </si>
  <si>
    <t>Valid property code</t>
  </si>
  <si>
    <t>Property identifier</t>
  </si>
  <si>
    <t>report_date</t>
  </si>
  <si>
    <t>YYYY-MM-DD</t>
  </si>
  <si>
    <t>Activity date</t>
  </si>
  <si>
    <t>new_leads</t>
  </si>
  <si>
    <t>Guest cards created</t>
  </si>
  <si>
    <t>leads_contacted_1hr</t>
  </si>
  <si>
    <t>&lt;=new_leads</t>
  </si>
  <si>
    <t>Contacted within 1hr</t>
  </si>
  <si>
    <t>tours_scheduled</t>
  </si>
  <si>
    <t>Tours scheduled</t>
  </si>
  <si>
    <t>Tours completed</t>
  </si>
  <si>
    <t>apps_submitted</t>
  </si>
  <si>
    <t>Apps submitted</t>
  </si>
  <si>
    <t>apps_approved</t>
  </si>
  <si>
    <t>Apps approved</t>
  </si>
  <si>
    <t>leases_signed</t>
  </si>
  <si>
    <t>Leases executed</t>
  </si>
  <si>
    <t>followups_due</t>
  </si>
  <si>
    <t>Follow-ups due</t>
  </si>
  <si>
    <t>followups_completed</t>
  </si>
  <si>
    <t>Follow-ups done</t>
  </si>
  <si>
    <t>2026-01-11T18:00:00</t>
  </si>
  <si>
    <t>TEMPLATE 3: Marketing.csv</t>
  </si>
  <si>
    <t>Campaign date</t>
  </si>
  <si>
    <t>channel</t>
  </si>
  <si>
    <t>ILS|PPC|Social|Direct|Referral</t>
  </si>
  <si>
    <t>Marketing channel</t>
  </si>
  <si>
    <t>campaign_id</t>
  </si>
  <si>
    <t>Valid campaign code</t>
  </si>
  <si>
    <t>APT-Q1-2026</t>
  </si>
  <si>
    <t>Campaign identifier</t>
  </si>
  <si>
    <t>impressions</t>
  </si>
  <si>
    <t>Ad impressions</t>
  </si>
  <si>
    <t>clicks</t>
  </si>
  <si>
    <t>Ad clicks</t>
  </si>
  <si>
    <t>leads</t>
  </si>
  <si>
    <t>Leads generated</t>
  </si>
  <si>
    <t>tours</t>
  </si>
  <si>
    <t>Tours from channel</t>
  </si>
  <si>
    <t>leases</t>
  </si>
  <si>
    <t>Leases from channel</t>
  </si>
  <si>
    <t>spend</t>
  </si>
  <si>
    <t>Marketing spend $</t>
  </si>
  <si>
    <t>2026-01-11T23:59:00</t>
  </si>
  <si>
    <t>TEMPLATE 4: Maintenance.csv</t>
  </si>
  <si>
    <t>Report date</t>
  </si>
  <si>
    <t>wo_number</t>
  </si>
  <si>
    <t>Unique WO ID</t>
  </si>
  <si>
    <t>WO-2026-001234</t>
  </si>
  <si>
    <t>Work order number</t>
  </si>
  <si>
    <t>Valid unit or Common</t>
  </si>
  <si>
    <t>Unit or common area</t>
  </si>
  <si>
    <t>category</t>
  </si>
  <si>
    <t>Plumbing|HVAC|Electrical|Appliance|General</t>
  </si>
  <si>
    <t>HVAC</t>
  </si>
  <si>
    <t>WO category</t>
  </si>
  <si>
    <t>Emergency|Urgent|Normal|Scheduled</t>
  </si>
  <si>
    <t>Normal</t>
  </si>
  <si>
    <t>Priority level</t>
  </si>
  <si>
    <t>Open|In Progress|Complete|On Hold</t>
  </si>
  <si>
    <t>Current status</t>
  </si>
  <si>
    <t>created_date</t>
  </si>
  <si>
    <t>WO created date</t>
  </si>
  <si>
    <t>completed_date</t>
  </si>
  <si>
    <t>If Complete</t>
  </si>
  <si>
    <t>Completion date</t>
  </si>
  <si>
    <t>time_to_complete_hrs</t>
  </si>
  <si>
    <t>&gt;=0 if Complete</t>
  </si>
  <si>
    <t>Hours to complete</t>
  </si>
  <si>
    <t>cost</t>
  </si>
  <si>
    <t>Parts/labor cost</t>
  </si>
  <si>
    <t>TEMPLATE 5: Financials.csv</t>
  </si>
  <si>
    <t>period</t>
  </si>
  <si>
    <t>YYYY-MM</t>
  </si>
  <si>
    <t>2026-01</t>
  </si>
  <si>
    <t>Reporting period</t>
  </si>
  <si>
    <t>gl_account</t>
  </si>
  <si>
    <t>Valid GL code</t>
  </si>
  <si>
    <t>4100-001</t>
  </si>
  <si>
    <t>GL account code</t>
  </si>
  <si>
    <t>gl_description</t>
  </si>
  <si>
    <t>Rental Income</t>
  </si>
  <si>
    <t>Account description</t>
  </si>
  <si>
    <t>Revenue|OpEx|CapEx|Other</t>
  </si>
  <si>
    <t>Account category</t>
  </si>
  <si>
    <t>actual</t>
  </si>
  <si>
    <t>Any number</t>
  </si>
  <si>
    <t>Actual amount</t>
  </si>
  <si>
    <t>budget</t>
  </si>
  <si>
    <t>Budget amount</t>
  </si>
  <si>
    <t>variance</t>
  </si>
  <si>
    <t>actual - budget</t>
  </si>
  <si>
    <t>Variance amount</t>
  </si>
  <si>
    <t>variance_pct</t>
  </si>
  <si>
    <t>variance / budget</t>
  </si>
  <si>
    <t>ytd_actual</t>
  </si>
  <si>
    <t>YTD actual</t>
  </si>
  <si>
    <t>ytd_budget</t>
  </si>
  <si>
    <t>YTD budget</t>
  </si>
  <si>
    <t>2026-01-31T23:59:00</t>
  </si>
  <si>
    <t>KPI DEFINITIONS &amp; BUSINESS RULES</t>
  </si>
  <si>
    <t>Standard definitions for portfolio-wide consistency. Do not modify without Ops/Finance approval.</t>
  </si>
  <si>
    <t>CORE FINANCIAL KPIs</t>
  </si>
  <si>
    <t>KPI Name</t>
  </si>
  <si>
    <t>Definition</t>
  </si>
  <si>
    <t>Formula</t>
  </si>
  <si>
    <t>Data Source</t>
  </si>
  <si>
    <t>Yellow Threshold</t>
  </si>
  <si>
    <t>Red Threshold</t>
  </si>
  <si>
    <t>Excel Formula</t>
  </si>
  <si>
    <t>Example Calc</t>
  </si>
  <si>
    <t>Units</t>
  </si>
  <si>
    <t>Net Operating Income = Revenue - Operating Expenses</t>
  </si>
  <si>
    <t>Revenue - OpEx</t>
  </si>
  <si>
    <t>&lt;Budget -5%</t>
  </si>
  <si>
    <t>&lt;Budget -10%</t>
  </si>
  <si>
    <t>500000-350000=150000</t>
  </si>
  <si>
    <t>$</t>
  </si>
  <si>
    <t>Same-Store NOI</t>
  </si>
  <si>
    <t>NOI for properties owned &gt;12 months, YoY comparison</t>
  </si>
  <si>
    <t>(Current NOI - Prior NOI) / Prior NOI</t>
  </si>
  <si>
    <t>YoY &lt;2%</t>
  </si>
  <si>
    <t>YoY &lt;0%</t>
  </si>
  <si>
    <t>(150000-140000)/140000=7.1%</t>
  </si>
  <si>
    <t>%</t>
  </si>
  <si>
    <t>Funds From Operations (REIT standard)</t>
  </si>
  <si>
    <t>Net Income + D&amp;A - Gains on Sales</t>
  </si>
  <si>
    <t>&lt;Guidance -5%</t>
  </si>
  <si>
    <t>&lt;Guidance -10%</t>
  </si>
  <si>
    <t>100000+50000-10000=140000</t>
  </si>
  <si>
    <t>NOI / Total Debt Service</t>
  </si>
  <si>
    <t>&lt;1.30x</t>
  </si>
  <si>
    <t>&lt;1.20x</t>
  </si>
  <si>
    <t>150000/100000=1.50x</t>
  </si>
  <si>
    <t>x</t>
  </si>
  <si>
    <t>Leverage Ratio</t>
  </si>
  <si>
    <t>Total Debt / Total Assets</t>
  </si>
  <si>
    <t>Debt / Assets</t>
  </si>
  <si>
    <t>&gt;60%</t>
  </si>
  <si>
    <t>&gt;65%</t>
  </si>
  <si>
    <t>60000000/100000000=60%</t>
  </si>
  <si>
    <t>Past due rent / Total rent billed</t>
  </si>
  <si>
    <t>Delinquent $ / Billed $</t>
  </si>
  <si>
    <t>AR Report</t>
  </si>
  <si>
    <t>&gt;3%</t>
  </si>
  <si>
    <t>&gt;5%</t>
  </si>
  <si>
    <t>15000/500000=3%</t>
  </si>
  <si>
    <t>Bad Debt %</t>
  </si>
  <si>
    <t>Write-offs / Revenue</t>
  </si>
  <si>
    <t>&gt;1%</t>
  </si>
  <si>
    <t>&gt;2%</t>
  </si>
  <si>
    <t>5000/500000=1%</t>
  </si>
  <si>
    <t>LEASING &amp; OCCUPANCY KPIs</t>
  </si>
  <si>
    <t>Physical Occupancy %</t>
  </si>
  <si>
    <t>Occupied units / Total units</t>
  </si>
  <si>
    <t>Occupied / Total</t>
  </si>
  <si>
    <t>&lt;95%</t>
  </si>
  <si>
    <t>&lt;92%</t>
  </si>
  <si>
    <t>'=COUNTIF(Status,"Leased")/COUNTA(UnitID)</t>
  </si>
  <si>
    <t>275/357=77.0%</t>
  </si>
  <si>
    <t>Economic Occupancy %</t>
  </si>
  <si>
    <t>Collected rent / Potential rent</t>
  </si>
  <si>
    <t>Collected / (Units × Market)</t>
  </si>
  <si>
    <t>&lt;90%</t>
  </si>
  <si>
    <t>&lt;85%</t>
  </si>
  <si>
    <t>'=SUM(CollectedRent)/SUM(MarketRent)</t>
  </si>
  <si>
    <t>450000/500000=90%</t>
  </si>
  <si>
    <t>Net Effective Rent (NER)</t>
  </si>
  <si>
    <t>Contract rent - (Concessions / Lease Term)</t>
  </si>
  <si>
    <t>(Contract - Concession) / Term</t>
  </si>
  <si>
    <t>&lt;Market -5%</t>
  </si>
  <si>
    <t>&lt;Market -10%</t>
  </si>
  <si>
    <t>'=ContractRent-(Concession/LeaseTerm)</t>
  </si>
  <si>
    <t>2400-(600/12)=2350</t>
  </si>
  <si>
    <t>Lead-to-Tour %</t>
  </si>
  <si>
    <t>Tours completed / New leads</t>
  </si>
  <si>
    <t>Tours / Leads</t>
  </si>
  <si>
    <t>&lt;40%</t>
  </si>
  <si>
    <t>&lt;30%</t>
  </si>
  <si>
    <t>'=ToursCompleted/NewLeads</t>
  </si>
  <si>
    <t>6/15=40%</t>
  </si>
  <si>
    <t>Tour-to-Lease %</t>
  </si>
  <si>
    <t>Leases signed / Tours completed</t>
  </si>
  <si>
    <t>Leases / Tours</t>
  </si>
  <si>
    <t>&lt;25%</t>
  </si>
  <si>
    <t>&lt;20%</t>
  </si>
  <si>
    <t>'=LeasesSigned/ToursCompleted</t>
  </si>
  <si>
    <t>2/6=33%</t>
  </si>
  <si>
    <t>Lead-to-Lease %</t>
  </si>
  <si>
    <t>Leases signed / New leads</t>
  </si>
  <si>
    <t>Leases / Leads</t>
  </si>
  <si>
    <t>&lt;15%</t>
  </si>
  <si>
    <t>&lt;10%</t>
  </si>
  <si>
    <t>'=LeasesSigned/NewLeads</t>
  </si>
  <si>
    <t>2/15=13%</t>
  </si>
  <si>
    <t>Renewals / Expiring leases</t>
  </si>
  <si>
    <t>Renewed / Expiring</t>
  </si>
  <si>
    <t>&lt;55%</t>
  </si>
  <si>
    <t>&lt;50%</t>
  </si>
  <si>
    <t>'=Renewals/ExpiringLeases</t>
  </si>
  <si>
    <t>45/80=56%</t>
  </si>
  <si>
    <t>Days on Market</t>
  </si>
  <si>
    <t>Avg days unit vacant before lease</t>
  </si>
  <si>
    <t>Avg(Lease Date - Vacant Date)</t>
  </si>
  <si>
    <t>&gt;21 days</t>
  </si>
  <si>
    <t>&gt;30 days</t>
  </si>
  <si>
    <t>'=AVERAGE(LeaseDate-VacantDate)</t>
  </si>
  <si>
    <t>AVG(14,21,7)=14</t>
  </si>
  <si>
    <t>days</t>
  </si>
  <si>
    <t>Follow-up Completion %</t>
  </si>
  <si>
    <t>Completed follow-ups / Due follow-ups</t>
  </si>
  <si>
    <t>Completed / Due</t>
  </si>
  <si>
    <t>'=FollowupsCompleted/FollowupsDue</t>
  </si>
  <si>
    <t>23/25=92%</t>
  </si>
  <si>
    <t>MARKETING KPIs</t>
  </si>
  <si>
    <t>Marketing spend / Leads generated</t>
  </si>
  <si>
    <t>Spend / Leads</t>
  </si>
  <si>
    <t>&gt;$75</t>
  </si>
  <si>
    <t>&gt;$100</t>
  </si>
  <si>
    <t>'=MarketingSpend/Leads</t>
  </si>
  <si>
    <t>1500/20=$75</t>
  </si>
  <si>
    <t>Cost Per Tour (CPT)</t>
  </si>
  <si>
    <t>Marketing spend / Tours from marketing</t>
  </si>
  <si>
    <t>Spend / Tours</t>
  </si>
  <si>
    <t>&gt;$150</t>
  </si>
  <si>
    <t>&gt;$200</t>
  </si>
  <si>
    <t>'=MarketingSpend/Tours</t>
  </si>
  <si>
    <t>1500/10=$150</t>
  </si>
  <si>
    <t>Marketing spend / Leases signed</t>
  </si>
  <si>
    <t>Spend / Leases</t>
  </si>
  <si>
    <t>&gt;1 mo rent</t>
  </si>
  <si>
    <t>&gt;1.5 mo rent</t>
  </si>
  <si>
    <t>'=MarketingSpend/Leases</t>
  </si>
  <si>
    <t>1500/3=$500</t>
  </si>
  <si>
    <t>Customer Acquisition Cost (CAC)</t>
  </si>
  <si>
    <t>Total acquisition cost per new resident</t>
  </si>
  <si>
    <t>(Mkt + Leasing Ops) / Leases</t>
  </si>
  <si>
    <t>&gt;$2000</t>
  </si>
  <si>
    <t>&gt;$3000</t>
  </si>
  <si>
    <t>'=(MktSpend+LeasingCost)/Leases</t>
  </si>
  <si>
    <t>(1500+500)/3=$667</t>
  </si>
  <si>
    <t>Lifetime Value / Customer Acquisition Cost</t>
  </si>
  <si>
    <t>LTV / CAC</t>
  </si>
  <si>
    <t>&lt;3:1</t>
  </si>
  <si>
    <t>&lt;2:1</t>
  </si>
  <si>
    <t>'=LTV/CAC</t>
  </si>
  <si>
    <t>7200/667=10.8x</t>
  </si>
  <si>
    <t>ratio</t>
  </si>
  <si>
    <t>Click-Through Rate (CTR)</t>
  </si>
  <si>
    <t>Clicks / Impressions</t>
  </si>
  <si>
    <t>&lt;1.5%</t>
  </si>
  <si>
    <t>&lt;1%</t>
  </si>
  <si>
    <t>'=Clicks/Impressions</t>
  </si>
  <si>
    <t>450/30000=1.5%</t>
  </si>
  <si>
    <t>Conversion Rate (Web)</t>
  </si>
  <si>
    <t>Leads / Sessions</t>
  </si>
  <si>
    <t>GA4</t>
  </si>
  <si>
    <t>&lt;3%</t>
  </si>
  <si>
    <t>&lt;2%</t>
  </si>
  <si>
    <t>'=Leads/Sessions</t>
  </si>
  <si>
    <t>20/800=2.5%</t>
  </si>
  <si>
    <t>OPERATIONS &amp; MAINTENANCE KPIs</t>
  </si>
  <si>
    <t>Turnover Rate</t>
  </si>
  <si>
    <t>Move-outs / Total units (annualized)</t>
  </si>
  <si>
    <t>(Move-outs × 12) / Units</t>
  </si>
  <si>
    <t>&gt;50%</t>
  </si>
  <si>
    <t>'=(MoveOuts*12)/TotalUnits</t>
  </si>
  <si>
    <t>(30*12)/357=100.8%</t>
  </si>
  <si>
    <t>Cost Per Turn</t>
  </si>
  <si>
    <t>Total make-ready cost / Turns</t>
  </si>
  <si>
    <t>Turn Cost / Turns</t>
  </si>
  <si>
    <t>&gt;$1500</t>
  </si>
  <si>
    <t>'=SUM(TurnCost)/COUNT(Turns)</t>
  </si>
  <si>
    <t>45000/30=$1500</t>
  </si>
  <si>
    <t>Days to Re-Rent</t>
  </si>
  <si>
    <t>Avg days from move-out to new lease</t>
  </si>
  <si>
    <t>Avg(New Lease - Move Out)</t>
  </si>
  <si>
    <t>&gt;14 days</t>
  </si>
  <si>
    <t>'=AVG(NewLeaseDate-MoveOutDate)</t>
  </si>
  <si>
    <t>AVG(10,14,21)=15</t>
  </si>
  <si>
    <t>WO Completion Time</t>
  </si>
  <si>
    <t>Avg hours to complete work orders</t>
  </si>
  <si>
    <t>Avg(Complete - Created)</t>
  </si>
  <si>
    <t>&gt;48 hrs</t>
  </si>
  <si>
    <t>&gt;72 hrs</t>
  </si>
  <si>
    <t>'=AVG(CompletedTime-CreatedTime)</t>
  </si>
  <si>
    <t>AVG(24,48,36)=36</t>
  </si>
  <si>
    <t>hrs</t>
  </si>
  <si>
    <t>Emergency Response</t>
  </si>
  <si>
    <t>Avg hours for emergency WO response</t>
  </si>
  <si>
    <t>Avg(First Action - Created)</t>
  </si>
  <si>
    <t>&gt;4 hrs</t>
  </si>
  <si>
    <t>&gt;8 hrs</t>
  </si>
  <si>
    <t>'=AVG(ResponseTime) WHERE Priority='Emergency'</t>
  </si>
  <si>
    <t>AVG(2,4,3)=3</t>
  </si>
  <si>
    <t>WO Backlog</t>
  </si>
  <si>
    <t>Open work orders / Total units</t>
  </si>
  <si>
    <t>Open WOs / Units</t>
  </si>
  <si>
    <t>&gt;0.5</t>
  </si>
  <si>
    <t>&gt;1.0</t>
  </si>
  <si>
    <t>'=COUNTIF(Status,"Open")/TotalUnits</t>
  </si>
  <si>
    <t>50/357=0.14</t>
  </si>
  <si>
    <t>NPS Score</t>
  </si>
  <si>
    <t>Net Promoter Score (Promoters - Detractors)</t>
  </si>
  <si>
    <t>(9-10 scores) - (0-6 scores)</t>
  </si>
  <si>
    <t>Survey Data</t>
  </si>
  <si>
    <t>&lt;40</t>
  </si>
  <si>
    <t>&lt;20</t>
  </si>
  <si>
    <t>'=(%Promoters-%Detractors)*100</t>
  </si>
  <si>
    <t>(45%-15%)*100=30</t>
  </si>
  <si>
    <t>score</t>
  </si>
  <si>
    <t>Resident Satisfaction</t>
  </si>
  <si>
    <t>Survey satisfaction score</t>
  </si>
  <si>
    <t>Avg satisfaction rating</t>
  </si>
  <si>
    <t>&lt;4.0</t>
  </si>
  <si>
    <t>&lt;3.5</t>
  </si>
  <si>
    <t>'=AVERAGE(SatisfactionRating)</t>
  </si>
  <si>
    <t>AVG(4.2,3.8,4.5)=4.2</t>
  </si>
  <si>
    <t>/5</t>
  </si>
  <si>
    <t>DEVELOPMENT &amp; CONSTRUCTION KPIs</t>
  </si>
  <si>
    <t>Schedule Variance (SV)</t>
  </si>
  <si>
    <t>Earned Value - Planned Value</t>
  </si>
  <si>
    <t>EV - PV</t>
  </si>
  <si>
    <t>Project Tracker</t>
  </si>
  <si>
    <t>&lt;-5%</t>
  </si>
  <si>
    <t>&lt;-10%</t>
  </si>
  <si>
    <t>'=EarnedValue-PlannedValue</t>
  </si>
  <si>
    <t>950000-1000000=-50000</t>
  </si>
  <si>
    <t>Cost Variance (CV)</t>
  </si>
  <si>
    <t>Earned Value - Actual Cost</t>
  </si>
  <si>
    <t>EV - AC</t>
  </si>
  <si>
    <t>'=EarnedValue-ActualCost</t>
  </si>
  <si>
    <t>950000-980000=-30000</t>
  </si>
  <si>
    <t>Schedule Performance Index</t>
  </si>
  <si>
    <t>Earned Value / Planned Value</t>
  </si>
  <si>
    <t>EV / PV</t>
  </si>
  <si>
    <t>&lt;0.95</t>
  </si>
  <si>
    <t>&lt;0.90</t>
  </si>
  <si>
    <t>'=EarnedValue/PlannedValue</t>
  </si>
  <si>
    <t>950000/1000000=0.95</t>
  </si>
  <si>
    <t>index</t>
  </si>
  <si>
    <t>Cost Performance Index</t>
  </si>
  <si>
    <t>Earned Value / Actual Cost</t>
  </si>
  <si>
    <t>EV / AC</t>
  </si>
  <si>
    <t>'=EarnedValue/ActualCost</t>
  </si>
  <si>
    <t>950000/980000=0.97</t>
  </si>
  <si>
    <t>% Complete</t>
  </si>
  <si>
    <t>Work completed vs total scope</t>
  </si>
  <si>
    <t>Completed / Total Scope</t>
  </si>
  <si>
    <t>Behind schedule</t>
  </si>
  <si>
    <t>&gt;2 weeks late</t>
  </si>
  <si>
    <t>'=CompletedWork/TotalScope</t>
  </si>
  <si>
    <t>47.5/50=95%</t>
  </si>
  <si>
    <t>Cost to Complete</t>
  </si>
  <si>
    <t>Remaining budget to finish project</t>
  </si>
  <si>
    <t>Budget - Spent - Committed</t>
  </si>
  <si>
    <t>&gt;Budget +5%</t>
  </si>
  <si>
    <t>&gt;Budget +10%</t>
  </si>
  <si>
    <t>'=Budget-Spent-Committed</t>
  </si>
  <si>
    <t>1M-800K-150K=50K</t>
  </si>
  <si>
    <t>Risk Score</t>
  </si>
  <si>
    <t>Weighted risk assessment</t>
  </si>
  <si>
    <t>Sum(Impact × Likelihood)</t>
  </si>
  <si>
    <t>Risk Register</t>
  </si>
  <si>
    <t>&gt;Medium</t>
  </si>
  <si>
    <t>&gt;High</t>
  </si>
  <si>
    <t>'=SUMPRODUCT(Impact,Likelihood)</t>
  </si>
  <si>
    <t>SUM(3*4,2*3,5*2)=28</t>
  </si>
  <si>
    <t>ESG &amp; SUSTAINABILITY KPIs</t>
  </si>
  <si>
    <t>Energy Intensity</t>
  </si>
  <si>
    <t>kWh per unit per month</t>
  </si>
  <si>
    <t>Total kWh / Units</t>
  </si>
  <si>
    <t>Utility Data</t>
  </si>
  <si>
    <t>&gt;Baseline +10%</t>
  </si>
  <si>
    <t>&gt;Baseline +20%</t>
  </si>
  <si>
    <t>'=TotalkWh/TotalUnits</t>
  </si>
  <si>
    <t>150000/357=420</t>
  </si>
  <si>
    <t>kWh/unit</t>
  </si>
  <si>
    <t>Water Intensity</t>
  </si>
  <si>
    <t>Gallons per unit per month</t>
  </si>
  <si>
    <t>Total Gallons / Units</t>
  </si>
  <si>
    <t>'=TotalGallons/TotalUnits</t>
  </si>
  <si>
    <t>1500000/357=4202</t>
  </si>
  <si>
    <t>gal/unit</t>
  </si>
  <si>
    <t>Safety Incidents</t>
  </si>
  <si>
    <t>Recordable incidents per property</t>
  </si>
  <si>
    <t>Count of incidents</t>
  </si>
  <si>
    <t>Safety Log</t>
  </si>
  <si>
    <t>&gt;2</t>
  </si>
  <si>
    <t>'=COUNTIF(Type,"Recordable")</t>
  </si>
  <si>
    <t>COUNT=2</t>
  </si>
  <si>
    <t>count</t>
  </si>
  <si>
    <t>GRESB Score</t>
  </si>
  <si>
    <t>Global Real Estate Sustainability Benchmark</t>
  </si>
  <si>
    <t>GRESB assessment</t>
  </si>
  <si>
    <t>Annual Survey</t>
  </si>
  <si>
    <t>&lt;70</t>
  </si>
  <si>
    <t>&lt;60</t>
  </si>
  <si>
    <t>'=GRESBAssessmentScore</t>
  </si>
  <si>
    <t>Score=72</t>
  </si>
  <si>
    <t>0-100</t>
  </si>
  <si>
    <t>ADDITIONAL CALCULATED KPIs</t>
  </si>
  <si>
    <t>Yellow</t>
  </si>
  <si>
    <t>Red</t>
  </si>
  <si>
    <t>Revenue Per Unit</t>
  </si>
  <si>
    <t>Total revenue / Total units</t>
  </si>
  <si>
    <t>Revenue/Units</t>
  </si>
  <si>
    <t>Financials</t>
  </si>
  <si>
    <t>&lt;$1800</t>
  </si>
  <si>
    <t>&lt;$1600</t>
  </si>
  <si>
    <t>'=SUM(Revenue)/TotalUnits</t>
  </si>
  <si>
    <t>650000/357=$1821</t>
  </si>
  <si>
    <t>$/unit</t>
  </si>
  <si>
    <t>OpEx Ratio</t>
  </si>
  <si>
    <t>Operating expenses / Revenue</t>
  </si>
  <si>
    <t>OpEx/Revenue</t>
  </si>
  <si>
    <t>&gt;45%</t>
  </si>
  <si>
    <t>'=SUM(OpEx)/SUM(Revenue)</t>
  </si>
  <si>
    <t>325000/650000=50%</t>
  </si>
  <si>
    <t>Gross Potential Rent</t>
  </si>
  <si>
    <t>All units at market rent</t>
  </si>
  <si>
    <t>Units × Market Rent</t>
  </si>
  <si>
    <t>RentRoll</t>
  </si>
  <si>
    <t>N/A</t>
  </si>
  <si>
    <t>'=SUMPRODUCT(Units,MarketRent)</t>
  </si>
  <si>
    <t>357*2500=$892,500</t>
  </si>
  <si>
    <t>Loss to Lease</t>
  </si>
  <si>
    <t>Market rent - Contract rent</t>
  </si>
  <si>
    <t>GPR - Actual Rent</t>
  </si>
  <si>
    <t>&gt;8%</t>
  </si>
  <si>
    <t>'=(MarketRent-ContractRent)/MarketRent</t>
  </si>
  <si>
    <t>(2500-2350)/2500=6%</t>
  </si>
  <si>
    <t>Vacancy Loss</t>
  </si>
  <si>
    <t>Revenue lost from vacant units</t>
  </si>
  <si>
    <t>Vacant × Market × Days</t>
  </si>
  <si>
    <t>'=VacantUnits*AvgRent*Days/30</t>
  </si>
  <si>
    <t>20*2400*15/30=$24,000</t>
  </si>
  <si>
    <t>Concession Impact</t>
  </si>
  <si>
    <t>Total concessions given</t>
  </si>
  <si>
    <t>Sum of concessions</t>
  </si>
  <si>
    <t>&gt;4%</t>
  </si>
  <si>
    <t>'=SUM(Concessions)/GPR</t>
  </si>
  <si>
    <t>15000/892500=1.7%</t>
  </si>
  <si>
    <t>Rent Growth YoY</t>
  </si>
  <si>
    <t>Year-over-year rent increase</t>
  </si>
  <si>
    <t>(Current-Prior)/Prior</t>
  </si>
  <si>
    <t>&lt;0%</t>
  </si>
  <si>
    <t>'=(AvgRentNow-AvgRentPY)/AvgRentPY</t>
  </si>
  <si>
    <t>(2400-2300)/2300=4.3%</t>
  </si>
  <si>
    <t>Absorption Rate</t>
  </si>
  <si>
    <t>Leases signed / Available units</t>
  </si>
  <si>
    <t>New Leases/Available</t>
  </si>
  <si>
    <t>'=NewLeases/AvailableUnits</t>
  </si>
  <si>
    <t>5/30=16.7%</t>
  </si>
  <si>
    <t>%/wk</t>
  </si>
  <si>
    <t>Avg Lease Term</t>
  </si>
  <si>
    <t>Average lease duration</t>
  </si>
  <si>
    <t>Avg of lease terms</t>
  </si>
  <si>
    <t>&lt;11 mo</t>
  </si>
  <si>
    <t>&lt;10 mo</t>
  </si>
  <si>
    <t>'=AVERAGE(LeaseTerm)</t>
  </si>
  <si>
    <t>AVG(12,12,11,13)=12</t>
  </si>
  <si>
    <t>months</t>
  </si>
  <si>
    <t>Resident Tenure</t>
  </si>
  <si>
    <t>Avg months resident stays</t>
  </si>
  <si>
    <t>Avg tenure all residents</t>
  </si>
  <si>
    <t>&lt;18 mo</t>
  </si>
  <si>
    <t>&lt;12 mo</t>
  </si>
  <si>
    <t>'=AVERAGE(DATEDIF(MoveIn,TODAY(),"M"))</t>
  </si>
  <si>
    <t>AVG(24,18,36,12)=22.5</t>
  </si>
  <si>
    <t>FORMULA LOGIC &amp; DEPENDENCIES</t>
  </si>
  <si>
    <t>Derived Metric</t>
  </si>
  <si>
    <t>Depends On</t>
  </si>
  <si>
    <t>Calculation Chain</t>
  </si>
  <si>
    <t>Refresh Order</t>
  </si>
  <si>
    <t>NOI, Revenue</t>
  </si>
  <si>
    <t>1. Calculate Revenue → 2. Calculate OpEx → 3. NOI=Rev-OpEx → 4. Margin=NOI/Rev</t>
  </si>
  <si>
    <t>Economic Occ</t>
  </si>
  <si>
    <t>Physical Occ, Collected Rent, GPR</t>
  </si>
  <si>
    <t>1. GPR=Units×Market → 2. Collected from AR → 3. EconOcc=Collected/GPR</t>
  </si>
  <si>
    <t>LTV:CAC</t>
  </si>
  <si>
    <t>CAC, Avg Tenure, NER</t>
  </si>
  <si>
    <t>1. CAC=MktSpend/Leases → 2. LTV=NER×Tenure → 3. Ratio=LTV/CAC</t>
  </si>
  <si>
    <t>CPA Guard</t>
  </si>
  <si>
    <t>CPA, Avg NER</t>
  </si>
  <si>
    <t>1. CPA=Spend/Leases → 2. Threshold=1×NER → 3. Alert if CPA&gt;Threshold</t>
  </si>
  <si>
    <t>NOI Current, NOI Prior, Property Age</t>
  </si>
  <si>
    <t>1. Filter props &gt;12mo → 2. Sum current NOI → 3. Sum prior NOI → 4. YoY%</t>
  </si>
  <si>
    <t>NOI, Debt Service</t>
  </si>
  <si>
    <t>1. Annual NOI → 2. Annual P&amp;I payments → 3. DSCR=NOI/DebtSvc</t>
  </si>
  <si>
    <t>Net Income, D&amp;A, Gains</t>
  </si>
  <si>
    <t>1. Net Income from P&amp;L → 2. Add back D&amp;A → 3. Subtract gains → 4. FFO</t>
  </si>
  <si>
    <t>SPI/CPI</t>
  </si>
  <si>
    <t>EV, PV, AC</t>
  </si>
  <si>
    <t>1. Calculate Planned Value → 2. Calculate Earned Value → 3. Track Actual Cost → 4. Indices</t>
  </si>
  <si>
    <t>ALERT THRESHOLDS &amp; NOTIFICATION RULES</t>
  </si>
  <si>
    <t>Automated alerts triggered when KPIs breach thresholds. Hard rules require immediate action.</t>
  </si>
  <si>
    <t>CRITICAL ALERTS (RED)</t>
  </si>
  <si>
    <t>Alert ID</t>
  </si>
  <si>
    <t>Alert Name</t>
  </si>
  <si>
    <t>Trigger Condition</t>
  </si>
  <si>
    <t>Hard Rule?</t>
  </si>
  <si>
    <t>Block Action</t>
  </si>
  <si>
    <t>Notify (Primary)</t>
  </si>
  <si>
    <t>Notify (Secondary)</t>
  </si>
  <si>
    <t>Recommended Action</t>
  </si>
  <si>
    <t>Escalation</t>
  </si>
  <si>
    <t>ALT-001</t>
  </si>
  <si>
    <t>Marketing CPA Breach</t>
  </si>
  <si>
    <t>CPA &gt; 1 month net rent</t>
  </si>
  <si>
    <t>RED</t>
  </si>
  <si>
    <t>Pause channel spend</t>
  </si>
  <si>
    <t>Head Marketing</t>
  </si>
  <si>
    <t>Asset Mgr, CFO</t>
  </si>
  <si>
    <t>Pause channel, review attribution</t>
  </si>
  <si>
    <t>Immediate: CFO</t>
  </si>
  <si>
    <t>ALT-002</t>
  </si>
  <si>
    <t>Occupancy Critical Drop</t>
  </si>
  <si>
    <t>Occupancy &lt; 92%</t>
  </si>
  <si>
    <t>Emergency leasing sprint</t>
  </si>
  <si>
    <t>24hr: SVP Ops</t>
  </si>
  <si>
    <t>ALT-003</t>
  </si>
  <si>
    <t>Occupancy MoM Drop</t>
  </si>
  <si>
    <t>Occupancy drop &gt; 2% MoM</t>
  </si>
  <si>
    <t>Review pricing, concessions</t>
  </si>
  <si>
    <t>ALT-004</t>
  </si>
  <si>
    <t>Covenant Breach Risk</t>
  </si>
  <si>
    <t>DSCR &lt; 1.20x</t>
  </si>
  <si>
    <t>Capital review required</t>
  </si>
  <si>
    <t>CEO, IR</t>
  </si>
  <si>
    <t>Prepare lender communication</t>
  </si>
  <si>
    <t>Immediate: CEO</t>
  </si>
  <si>
    <t>ALT-005</t>
  </si>
  <si>
    <t>Conversion Rate Collapse</t>
  </si>
  <si>
    <t>Lead-to-Lease drop &gt; 20% MoM</t>
  </si>
  <si>
    <t>Head Leasing</t>
  </si>
  <si>
    <t>Audit leasing process</t>
  </si>
  <si>
    <t>48hr: Ops Dir</t>
  </si>
  <si>
    <t>ALT-006</t>
  </si>
  <si>
    <t>Emergency WO Delayed</t>
  </si>
  <si>
    <t>Emergency WO &gt; 8 hrs</t>
  </si>
  <si>
    <t>Maint Director</t>
  </si>
  <si>
    <t>Property Mgr</t>
  </si>
  <si>
    <t>Immediate dispatch</t>
  </si>
  <si>
    <t>4hr: Ops Dir</t>
  </si>
  <si>
    <t>ALT-007</t>
  </si>
  <si>
    <t>Cash Flow Critical</t>
  </si>
  <si>
    <t>Liquidity &lt; 30 days opex</t>
  </si>
  <si>
    <t>Capex freeze</t>
  </si>
  <si>
    <t>CEO</t>
  </si>
  <si>
    <t>Draw credit facility</t>
  </si>
  <si>
    <t>WARNING ALERTS (YELLOW)</t>
  </si>
  <si>
    <t>ALT-101</t>
  </si>
  <si>
    <t>Occupancy Warning</t>
  </si>
  <si>
    <t>Occupancy &lt; 95%</t>
  </si>
  <si>
    <t>YELLOW</t>
  </si>
  <si>
    <t>Property Manager</t>
  </si>
  <si>
    <t>Review leasing velocity</t>
  </si>
  <si>
    <t>Weekly review</t>
  </si>
  <si>
    <t>ALT-102</t>
  </si>
  <si>
    <t>Marketing CPL High</t>
  </si>
  <si>
    <t>CPL &gt; $75</t>
  </si>
  <si>
    <t>Marketing Mgr</t>
  </si>
  <si>
    <t>Optimize campaigns</t>
  </si>
  <si>
    <t>ALT-103</t>
  </si>
  <si>
    <t>Follow-up Backlog</t>
  </si>
  <si>
    <t>Follow-up completion &lt; 95%</t>
  </si>
  <si>
    <t>Leasing Manager</t>
  </si>
  <si>
    <t>Clear backlog same day</t>
  </si>
  <si>
    <t>Daily standup</t>
  </si>
  <si>
    <t>ALT-104</t>
  </si>
  <si>
    <t>NER Below Market</t>
  </si>
  <si>
    <t>NER &lt; Market rent - 5%</t>
  </si>
  <si>
    <t>Leasing Director</t>
  </si>
  <si>
    <t>Review pricing strategy</t>
  </si>
  <si>
    <t>ALT-105</t>
  </si>
  <si>
    <t>WO Backlog High</t>
  </si>
  <si>
    <t>Open WOs &gt; 0.5 per unit</t>
  </si>
  <si>
    <t>Maint Supervisor</t>
  </si>
  <si>
    <t>Schedule overtime/temp</t>
  </si>
  <si>
    <t>48hr review</t>
  </si>
  <si>
    <t>ALT-106</t>
  </si>
  <si>
    <t>Actual vs Budget &gt; 5%</t>
  </si>
  <si>
    <t>Variance explanation</t>
  </si>
  <si>
    <t>Monthly review</t>
  </si>
  <si>
    <t>ALT-107</t>
  </si>
  <si>
    <t>Delinquency Rising</t>
  </si>
  <si>
    <t>Delinquency &gt; 3%</t>
  </si>
  <si>
    <t>Increase collection efforts</t>
  </si>
  <si>
    <t>ALT-108</t>
  </si>
  <si>
    <t>Project Schedule Slip</t>
  </si>
  <si>
    <t>Schedule variance &lt; -5%</t>
  </si>
  <si>
    <t>Project Manager</t>
  </si>
  <si>
    <t>Recovery plan required</t>
  </si>
  <si>
    <t>ALT-109</t>
  </si>
  <si>
    <t>Renewal Rate Low</t>
  </si>
  <si>
    <t>Renewal rate &lt; 55%</t>
  </si>
  <si>
    <t>Retention campaign</t>
  </si>
  <si>
    <t>ROLE-BASED ACCESS &amp; DISTRIBUTION MATRIX</t>
  </si>
  <si>
    <t>Access rights by role. V=View, E=Edit, A=Approve, D=Download, N=No Access</t>
  </si>
  <si>
    <t>ROLE DEFINITIONS</t>
  </si>
  <si>
    <t>Role</t>
  </si>
  <si>
    <t>Properties</t>
  </si>
  <si>
    <t>Reports Access</t>
  </si>
  <si>
    <t>Executive (CEO/CFO)</t>
  </si>
  <si>
    <t>Full portfolio visibility, approval authority</t>
  </si>
  <si>
    <t>All</t>
  </si>
  <si>
    <t>All reports, sign-off</t>
  </si>
  <si>
    <t>Department Head</t>
  </si>
  <si>
    <t>Division oversight, sign-off authority</t>
  </si>
  <si>
    <t>Division reports, sign-off</t>
  </si>
  <si>
    <t>Portfolio segment management</t>
  </si>
  <si>
    <t>Assigned portfolio</t>
  </si>
  <si>
    <t>Finance, Leasing, Ops</t>
  </si>
  <si>
    <t>Operations Director</t>
  </si>
  <si>
    <t>Property operations oversight</t>
  </si>
  <si>
    <t>Region/portfolio</t>
  </si>
  <si>
    <t>Ops, Leasing, Maint</t>
  </si>
  <si>
    <t>Single property management</t>
  </si>
  <si>
    <t>Single property</t>
  </si>
  <si>
    <t>Property-level only</t>
  </si>
  <si>
    <t>Leasing strategy and performance</t>
  </si>
  <si>
    <t>Leasing, Marketing</t>
  </si>
  <si>
    <t>Leasing Agent</t>
  </si>
  <si>
    <t>Daily leasing activities</t>
  </si>
  <si>
    <t>Leasing inputs only</t>
  </si>
  <si>
    <t>Marketing Director</t>
  </si>
  <si>
    <t>Marketing strategy and spend</t>
  </si>
  <si>
    <t>All properties</t>
  </si>
  <si>
    <t>Marketing, Attribution</t>
  </si>
  <si>
    <t>Finance Manager</t>
  </si>
  <si>
    <t>Financial reporting and AR</t>
  </si>
  <si>
    <t>Finance reports</t>
  </si>
  <si>
    <t>Maintenance Director</t>
  </si>
  <si>
    <t>Maintenance operations</t>
  </si>
  <si>
    <t>Maintenance, WO</t>
  </si>
  <si>
    <t>Development Director</t>
  </si>
  <si>
    <t>Construction oversight</t>
  </si>
  <si>
    <t>Dev projects</t>
  </si>
  <si>
    <t>Development reports</t>
  </si>
  <si>
    <t>IR / Capital Markets</t>
  </si>
  <si>
    <t>Investor communications</t>
  </si>
  <si>
    <t>Investor packs, financial</t>
  </si>
  <si>
    <t>ESG Manager</t>
  </si>
  <si>
    <t>Sustainability reporting</t>
  </si>
  <si>
    <t>ESG reports</t>
  </si>
  <si>
    <t>DISTRIBUTION SCHEDULE</t>
  </si>
  <si>
    <t>Frequency</t>
  </si>
  <si>
    <t>Format</t>
  </si>
  <si>
    <t>Delivery</t>
  </si>
  <si>
    <t>Time</t>
  </si>
  <si>
    <t>Sign-off Required</t>
  </si>
  <si>
    <t>PDF</t>
  </si>
  <si>
    <t>Property Mgr, Asset Mgr</t>
  </si>
  <si>
    <t>Email</t>
  </si>
  <si>
    <t>7:00 AM</t>
  </si>
  <si>
    <t>Marketing CPA Dashboard</t>
  </si>
  <si>
    <t>Dashboard</t>
  </si>
  <si>
    <t>Marketing, Asset Mgr</t>
  </si>
  <si>
    <t>Real-time</t>
  </si>
  <si>
    <t>Weekly Leasing Summary</t>
  </si>
  <si>
    <t>PDF+CSV</t>
  </si>
  <si>
    <t>Dept Heads, Asset Mgrs</t>
  </si>
  <si>
    <t>Mon 8:00 AM</t>
  </si>
  <si>
    <t>Monthly Portfolio NOI</t>
  </si>
  <si>
    <t>CFO, Dept Heads</t>
  </si>
  <si>
    <t>5th business day</t>
  </si>
  <si>
    <t>Yes - CFO</t>
  </si>
  <si>
    <t>Monthly Variance Report</t>
  </si>
  <si>
    <t>PDF+Excel</t>
  </si>
  <si>
    <t>Finance, Asset Mgrs</t>
  </si>
  <si>
    <t>Yes - Finance</t>
  </si>
  <si>
    <t>Investor Quarterly Pack</t>
  </si>
  <si>
    <t>IR, Investors</t>
  </si>
  <si>
    <t>Secure portal</t>
  </si>
  <si>
    <t>45 days post QE</t>
  </si>
  <si>
    <t>Yes - CEO/CFO</t>
  </si>
  <si>
    <t>Rent Roll Extract</t>
  </si>
  <si>
    <t>CSV</t>
  </si>
  <si>
    <t>Capital Markets</t>
  </si>
  <si>
    <t>SFTP</t>
  </si>
  <si>
    <t>Last business day</t>
  </si>
  <si>
    <t>ESG Report</t>
  </si>
  <si>
    <t>ESG, Investors</t>
  </si>
  <si>
    <t>Email+Portal</t>
  </si>
  <si>
    <t>30 days post QE</t>
  </si>
  <si>
    <t>Yes - ESG Mgr</t>
  </si>
  <si>
    <t>[PROPERTY NAME] - PROPERTY LEASING ONE-PAGER</t>
  </si>
  <si>
    <t>Report Date:</t>
  </si>
  <si>
    <t>Week Start:</t>
  </si>
  <si>
    <t>[Enter Date]</t>
  </si>
  <si>
    <t>KEY METRICS</t>
  </si>
  <si>
    <t>Occupied</t>
  </si>
  <si>
    <t>Physical Occ%</t>
  </si>
  <si>
    <t>Available</t>
  </si>
  <si>
    <t>Vacant Rent $</t>
  </si>
  <si>
    <t>[Units]</t>
  </si>
  <si>
    <t>[Occ]</t>
  </si>
  <si>
    <t>[%]</t>
  </si>
  <si>
    <t>[Avail]</t>
  </si>
  <si>
    <t>[$NER]</t>
  </si>
  <si>
    <t>[$Vacant]</t>
  </si>
  <si>
    <t>DAILY LEASING ACTIVITY</t>
  </si>
  <si>
    <t>Tours Scheduled</t>
  </si>
  <si>
    <t>Applications Submitted</t>
  </si>
  <si>
    <t>Applications Approved</t>
  </si>
  <si>
    <t>Cancellations/No-Shows</t>
  </si>
  <si>
    <t>CONVERSION RATES</t>
  </si>
  <si>
    <t>Lead → Tour %</t>
  </si>
  <si>
    <t>Tour → App %</t>
  </si>
  <si>
    <t>App → Lease %</t>
  </si>
  <si>
    <t>Lead → Lease %</t>
  </si>
  <si>
    <t>FOLLOW-UP HEALTH</t>
  </si>
  <si>
    <t>Follow-ups Due</t>
  </si>
  <si>
    <t>Follow-ups Completed</t>
  </si>
  <si>
    <t>Completion %</t>
  </si>
  <si>
    <t>Overdue Tasks</t>
  </si>
  <si>
    <t>Uncontacted &gt;24hr</t>
  </si>
  <si>
    <t>MARKETING PERFORMANCE &amp; CPA DASHBOARD</t>
  </si>
  <si>
    <t>← Back to Alerts</t>
  </si>
  <si>
    <t>ALERT: CPA &gt; 1 month rent triggers RED alert and channel pause</t>
  </si>
  <si>
    <t>PORTFOLIO MARKETING KPIs (WTD)</t>
  </si>
  <si>
    <t>CPL</t>
  </si>
  <si>
    <t>CPT</t>
  </si>
  <si>
    <t>CHANNEL PERFORMANCE</t>
  </si>
  <si>
    <t>Spend</t>
  </si>
  <si>
    <t>OK</t>
  </si>
  <si>
    <t>ILS (Zillow)</t>
  </si>
  <si>
    <t>Google Ads (PPC)</t>
  </si>
  <si>
    <t>Facebook/Instagram</t>
  </si>
  <si>
    <t>Other</t>
  </si>
  <si>
    <t>CAC PAYBACK &amp; LTV ANALYSIS</t>
  </si>
  <si>
    <t>CPA Threshold:</t>
  </si>
  <si>
    <t>Formula/Notes</t>
  </si>
  <si>
    <t>Avg Monthly Rent (NER)</t>
  </si>
  <si>
    <t>From OPS_11 weighted avg</t>
  </si>
  <si>
    <t>Avg Lease Term (months)</t>
  </si>
  <si>
    <t>Standard 12-month lease</t>
  </si>
  <si>
    <t>Avg Retention Rate</t>
  </si>
  <si>
    <t>From OPS_12 TTM retention</t>
  </si>
  <si>
    <t>Total spend / Total leases</t>
  </si>
  <si>
    <t>CAC Payback (months)</t>
  </si>
  <si>
    <t>CPA / Monthly Rent</t>
  </si>
  <si>
    <t>Avg Customer Lifespan (months)</t>
  </si>
  <si>
    <t>Lease Term / (1 - Retention)</t>
  </si>
  <si>
    <t>Customer LTV</t>
  </si>
  <si>
    <t>Monthly Rent × Lifespan</t>
  </si>
  <si>
    <t>Target: &gt;3.0x</t>
  </si>
  <si>
    <t>MONTHLY PORTFOLIO NOI PACK</t>
  </si>
  <si>
    <t>Period: [YYYY-MM] | Prepared: [Date] | Status: Draft/Final</t>
  </si>
  <si>
    <t>PORTFOLIO NOI SUMMARY</t>
  </si>
  <si>
    <t>Current Month</t>
  </si>
  <si>
    <t>Prior Month</t>
  </si>
  <si>
    <t>MoM Change</t>
  </si>
  <si>
    <t>YTD Budget</t>
  </si>
  <si>
    <t>$—</t>
  </si>
  <si>
    <t>Other Income</t>
  </si>
  <si>
    <t>Total Operating Expenses</t>
  </si>
  <si>
    <t>Payroll</t>
  </si>
  <si>
    <t>R&amp;M</t>
  </si>
  <si>
    <t>Utilities</t>
  </si>
  <si>
    <t>Admin/Marketing</t>
  </si>
  <si>
    <t>Insurance</t>
  </si>
  <si>
    <t>Property Tax</t>
  </si>
  <si>
    <t>—%</t>
  </si>
  <si>
    <t>PROPERTY NOI BREAKDOWN</t>
  </si>
  <si>
    <t>Property</t>
  </si>
  <si>
    <t>OpEx</t>
  </si>
  <si>
    <t>Property 1</t>
  </si>
  <si>
    <t>Property 2</t>
  </si>
  <si>
    <t>Property 3</t>
  </si>
  <si>
    <t>Property 4</t>
  </si>
  <si>
    <t>Property 5</t>
  </si>
  <si>
    <t>TOTAL</t>
  </si>
  <si>
    <t>CONSOLIDATED FINANCIAL STATEMENTS / INVESTOR PACK</t>
  </si>
  <si>
    <t>SECTIONS: P&amp;L | Balance Sheet | Cash Flow | FFO Reconciliation | Same-Store NOI | Covenant Compliance</t>
  </si>
  <si>
    <t>CONSOLIDATED P&amp;L STATEMENT</t>
  </si>
  <si>
    <t>KEY METRICS SUMMARY</t>
  </si>
  <si>
    <t>Q4 2025</t>
  </si>
  <si>
    <t>Q3 2025</t>
  </si>
  <si>
    <t>QoQ Chg</t>
  </si>
  <si>
    <t>Q4 2024</t>
  </si>
  <si>
    <t>YoY Chg</t>
  </si>
  <si>
    <t>FY 2025</t>
  </si>
  <si>
    <t>Prior Qtr</t>
  </si>
  <si>
    <t>YoY</t>
  </si>
  <si>
    <t>AFFO/Share</t>
  </si>
  <si>
    <t>OPERATING EXPENSES</t>
  </si>
  <si>
    <t>Physical Occupancy</t>
  </si>
  <si>
    <t>Property Operations</t>
  </si>
  <si>
    <t>Repairs &amp; Maintenance</t>
  </si>
  <si>
    <t>Leverage</t>
  </si>
  <si>
    <t>Property Taxes</t>
  </si>
  <si>
    <t>Property Management</t>
  </si>
  <si>
    <t>FFO RECONCILIATION</t>
  </si>
  <si>
    <t>Net Income (GAAP)</t>
  </si>
  <si>
    <t>(+) Real Estate Depreciation</t>
  </si>
  <si>
    <t>(+) Amortization</t>
  </si>
  <si>
    <t>(-) Gain on Sale of Properties</t>
  </si>
  <si>
    <t>(-) Unrealized Gains</t>
  </si>
  <si>
    <t>FFO (NAREIT Definition)</t>
  </si>
  <si>
    <t>FFO Adjustments:</t>
  </si>
  <si>
    <t>(+) Non-cash Interest Expense</t>
  </si>
  <si>
    <t>(-) Straight-line Rent Adj</t>
  </si>
  <si>
    <t>(+) Non-recurring Items</t>
  </si>
  <si>
    <t>AFFO (Adjusted FFO)</t>
  </si>
  <si>
    <t>PER SHARE METRICS</t>
  </si>
  <si>
    <t>Shares Outstanding (diluted)</t>
  </si>
  <si>
    <t>AFFO per Share</t>
  </si>
  <si>
    <t>SAME-STORE NOI RECONCILIATION</t>
  </si>
  <si>
    <t>$ Change</t>
  </si>
  <si>
    <t>% Change</t>
  </si>
  <si>
    <t>Total Portfolio NOI</t>
  </si>
  <si>
    <t>Less: Non-Same-Store Properties</t>
  </si>
  <si>
    <t xml:space="preserve">  Acquisitions (&lt;12 months)</t>
  </si>
  <si>
    <t xml:space="preserve">  Dispositions</t>
  </si>
  <si>
    <t xml:space="preserve">  Development/Lease-up</t>
  </si>
  <si>
    <t>Total Non-Same-Store</t>
  </si>
  <si>
    <t>SAME-STORE NOI</t>
  </si>
  <si>
    <t>Same-Store NOI Bridge:</t>
  </si>
  <si>
    <t>Prior Period Same-Store NOI</t>
  </si>
  <si>
    <t>Revenue Growth</t>
  </si>
  <si>
    <t>Expense Change</t>
  </si>
  <si>
    <t>Current Period Same-Store NOI</t>
  </si>
  <si>
    <t>COVENANT COMPLIANCE TABLE</t>
  </si>
  <si>
    <t>Requirement</t>
  </si>
  <si>
    <t>Headroom</t>
  </si>
  <si>
    <t>Trend</t>
  </si>
  <si>
    <t>Next Test</t>
  </si>
  <si>
    <t>Lender</t>
  </si>
  <si>
    <t>≥ 1.25x</t>
  </si>
  <si>
    <t>PASS</t>
  </si>
  <si>
    <t>↑</t>
  </si>
  <si>
    <t>Mar 31, 2026</t>
  </si>
  <si>
    <t>Wells Fargo</t>
  </si>
  <si>
    <t>≥ 2.00x</t>
  </si>
  <si>
    <t>Leverage Ratio (Debt/Assets)</t>
  </si>
  <si>
    <t>≤ 65%</t>
  </si>
  <si>
    <t>→</t>
  </si>
  <si>
    <t>JPMorgan</t>
  </si>
  <si>
    <t>Secured Debt Ratio</t>
  </si>
  <si>
    <t>≤ 40%</t>
  </si>
  <si>
    <t>↓</t>
  </si>
  <si>
    <t>Unencumbered Asset Coverage</t>
  </si>
  <si>
    <t>≥ 150%</t>
  </si>
  <si>
    <t>Unsecured</t>
  </si>
  <si>
    <t>Minimum Net Worth</t>
  </si>
  <si>
    <t>≥ $150M</t>
  </si>
  <si>
    <t>$185M</t>
  </si>
  <si>
    <t>Minimum Liquidity</t>
  </si>
  <si>
    <t>≥ $25M</t>
  </si>
  <si>
    <t>$42M</t>
  </si>
  <si>
    <t>RENT ROLL &amp; LEASE EXPIRATIONS</t>
  </si>
  <si>
    <t>RENT ROLL SUMMARY</t>
  </si>
  <si>
    <t>Unit</t>
  </si>
  <si>
    <t>SqFt</t>
  </si>
  <si>
    <t>Resident</t>
  </si>
  <si>
    <t>Lease Start</t>
  </si>
  <si>
    <t>Lease End</t>
  </si>
  <si>
    <t>Contract Rent</t>
  </si>
  <si>
    <t>Market Rent</t>
  </si>
  <si>
    <t>Concession</t>
  </si>
  <si>
    <t>LEASE EXPIRATION SCHEDULE (24 MONTHS)</t>
  </si>
  <si>
    <t>Total Units:</t>
  </si>
  <si>
    <t>Units Expiring</t>
  </si>
  <si>
    <t>% of Portfolio</t>
  </si>
  <si>
    <t>Cumulative</t>
  </si>
  <si>
    <t>Feb 26</t>
  </si>
  <si>
    <t>Mar 26</t>
  </si>
  <si>
    <t>Apr 26</t>
  </si>
  <si>
    <t>May 26</t>
  </si>
  <si>
    <t>Jun 26</t>
  </si>
  <si>
    <t>Jul 26</t>
  </si>
  <si>
    <t>Aug 26</t>
  </si>
  <si>
    <t>Sep 26</t>
  </si>
  <si>
    <t>Oct 26</t>
  </si>
  <si>
    <t>Nov 26</t>
  </si>
  <si>
    <t>Dec 26</t>
  </si>
  <si>
    <t>Jan 27</t>
  </si>
  <si>
    <t>Feb 27</t>
  </si>
  <si>
    <t>Mar 27</t>
  </si>
  <si>
    <t>Apr 27</t>
  </si>
  <si>
    <t>May 27</t>
  </si>
  <si>
    <t>Jun 27</t>
  </si>
  <si>
    <t>Jul 27</t>
  </si>
  <si>
    <t>Aug 27</t>
  </si>
  <si>
    <t>Sep 27</t>
  </si>
  <si>
    <t>Oct 27</t>
  </si>
  <si>
    <t>Nov 27</t>
  </si>
  <si>
    <t>Dec 27</t>
  </si>
  <si>
    <t>Jan 28</t>
  </si>
  <si>
    <t>BUDGET VS ACTUAL VARIANCE ANALYSIS</t>
  </si>
  <si>
    <t>January 2026 | MTD and YTD Analysis by Cost Center</t>
  </si>
  <si>
    <t>SUMMARY</t>
  </si>
  <si>
    <t>MTD Actual</t>
  </si>
  <si>
    <t>MTD Budget</t>
  </si>
  <si>
    <t>MTD Variance</t>
  </si>
  <si>
    <t>YTD Variance</t>
  </si>
  <si>
    <t>VARIANCE BY COST CENTER</t>
  </si>
  <si>
    <t>MTD Var</t>
  </si>
  <si>
    <t>YTD Var</t>
  </si>
  <si>
    <t>Rental Revenue</t>
  </si>
  <si>
    <t>Strong occupancy driving above-plan revenue</t>
  </si>
  <si>
    <t>Parking revenue below target; evaluating rate increase</t>
  </si>
  <si>
    <t>Concessions</t>
  </si>
  <si>
    <t>Lower concessions needed due to strong demand</t>
  </si>
  <si>
    <t>Payroll &amp; Benefits</t>
  </si>
  <si>
    <t>Overtime for maintenance backlog; expect normalization Q2</t>
  </si>
  <si>
    <t>Preventive maintenance program reducing reactive costs</t>
  </si>
  <si>
    <t>Mild weather and LED retrofit savings</t>
  </si>
  <si>
    <t>On budget; appeal pending for 2027</t>
  </si>
  <si>
    <t>Shifted spend to digital; higher ROI channels</t>
  </si>
  <si>
    <t>Professional Fees</t>
  </si>
  <si>
    <t>Legal fees for lease dispute; one-time</t>
  </si>
  <si>
    <t>Admin &amp; General</t>
  </si>
  <si>
    <t>Cost control initiatives showing results</t>
  </si>
  <si>
    <t>Contract Services</t>
  </si>
  <si>
    <t>Landscaping scope expansion; renegotiating for Q2</t>
  </si>
  <si>
    <t>MONTHLY VARIANCE TREND</t>
  </si>
  <si>
    <t>Cum Actual</t>
  </si>
  <si>
    <t>Cum Budget</t>
  </si>
  <si>
    <t>Cum Var $</t>
  </si>
  <si>
    <t>Cum Var %</t>
  </si>
  <si>
    <t>Monthly Commentary</t>
  </si>
  <si>
    <t>Strong start; revenue ahead, controlled costs</t>
  </si>
  <si>
    <t>[Forecast: Expected seasonal increase in utilities]</t>
  </si>
  <si>
    <t>[Forecast: Q1 close; property tax payment]</t>
  </si>
  <si>
    <t>Apr-26</t>
  </si>
  <si>
    <t>[Forecast: Spring leasing season begins]</t>
  </si>
  <si>
    <t>May-26</t>
  </si>
  <si>
    <t>[Forecast: Peak leasing; marketing spend increase]</t>
  </si>
  <si>
    <t>Jun-26</t>
  </si>
  <si>
    <t>[Forecast: Summer maintenance projects]</t>
  </si>
  <si>
    <t>Jul-26</t>
  </si>
  <si>
    <t>[Forecast: Turnover season peak]</t>
  </si>
  <si>
    <t>Aug-26</t>
  </si>
  <si>
    <t>[Forecast: Back-to-school move-ins]</t>
  </si>
  <si>
    <t>Sep-26</t>
  </si>
  <si>
    <t>[Forecast: Fall stabilization]</t>
  </si>
  <si>
    <t>Oct-26</t>
  </si>
  <si>
    <t>[Forecast: Pre-winter maintenance]</t>
  </si>
  <si>
    <t>Nov-26</t>
  </si>
  <si>
    <t>[Forecast: Holiday slowdown]</t>
  </si>
  <si>
    <t>Dec-26</t>
  </si>
  <si>
    <t>[Forecast: Year-end close; accruals]</t>
  </si>
  <si>
    <t>ANNUAL TOTAL</t>
  </si>
  <si>
    <t>Full year projection based on current trends</t>
  </si>
  <si>
    <t>EXECUTIVE COMMENTARY &amp; ACTION ITEMS</t>
  </si>
  <si>
    <t>✓ Favorable</t>
  </si>
  <si>
    <t>Revenue: Occupancy at 95.2% vs 94% budget driving rental income above plan.</t>
  </si>
  <si>
    <t>Ongoing</t>
  </si>
  <si>
    <t>Utilities: LED retrofit completed; mild January weather reduced heating costs.</t>
  </si>
  <si>
    <t>⚠ Watch</t>
  </si>
  <si>
    <t>Payroll: Overtime for maintenance backlog. Hiring additional tech in Feb.</t>
  </si>
  <si>
    <t>HR Dir</t>
  </si>
  <si>
    <t>Feb-15</t>
  </si>
  <si>
    <t>Insurance: 6.7% premium increase at renewal. Obtaining competitive quotes.</t>
  </si>
  <si>
    <t>Mar-31</t>
  </si>
  <si>
    <t>✗ Risk</t>
  </si>
  <si>
    <t>Professional Fees: Unbudgeted legal costs for tenant dispute.</t>
  </si>
  <si>
    <t>Legal</t>
  </si>
  <si>
    <t>Feb-28</t>
  </si>
  <si>
    <t>Action Item</t>
  </si>
  <si>
    <t>Prepare Q1 forecast revision incorporating actual January results.</t>
  </si>
  <si>
    <t>FP&amp;A</t>
  </si>
  <si>
    <t>Feb-10</t>
  </si>
  <si>
    <t>[Finance Team]</t>
  </si>
  <si>
    <t>Next Review:</t>
  </si>
  <si>
    <t>Feb 10, 2026</t>
  </si>
  <si>
    <t>12-MONTH CASH FLOW FORECAST &amp; LIQUIDITY</t>
  </si>
  <si>
    <t>ROLLING 12-MONTH CASH FLOW FORECAST</t>
  </si>
  <si>
    <t>CASH FLOW SUMMARY</t>
  </si>
  <si>
    <t>Line Item</t>
  </si>
  <si>
    <t>TTM NOI</t>
  </si>
  <si>
    <t>OPERATING CASH FLOW</t>
  </si>
  <si>
    <t>TTM Debt Service</t>
  </si>
  <si>
    <t>TTM Net Cash Flow</t>
  </si>
  <si>
    <t>(-) Vacancy/Concessions</t>
  </si>
  <si>
    <t>Current Cash</t>
  </si>
  <si>
    <t>Net Rental Revenue</t>
  </si>
  <si>
    <t>EOY Cash</t>
  </si>
  <si>
    <t>(+) Other Income</t>
  </si>
  <si>
    <t>Cash Build</t>
  </si>
  <si>
    <t>(-) Operating Expenses</t>
  </si>
  <si>
    <t>Avg DSCR</t>
  </si>
  <si>
    <t>Net Operating Income (NOI)</t>
  </si>
  <si>
    <t>Runway (months)</t>
  </si>
  <si>
    <t>(-) Capital Expenditures</t>
  </si>
  <si>
    <t>(+/-) Working Capital Δ</t>
  </si>
  <si>
    <t>Cash from Operations</t>
  </si>
  <si>
    <t>DEBT SERVICE</t>
  </si>
  <si>
    <t>(-) Interest Expense</t>
  </si>
  <si>
    <t>(-) Principal Payments</t>
  </si>
  <si>
    <t>Total Debt Service</t>
  </si>
  <si>
    <t>DSCR (Monthly)</t>
  </si>
  <si>
    <t>LIQUIDITY &amp; CASH POSITION</t>
  </si>
  <si>
    <t>Beginning Cash</t>
  </si>
  <si>
    <t>Ending Cash</t>
  </si>
  <si>
    <t>Minimum Cash Required</t>
  </si>
  <si>
    <t>Cash Surplus/(Deficit)</t>
  </si>
  <si>
    <t>LIQUIDITY RUNWAY ANALYSIS</t>
  </si>
  <si>
    <t>Current Cash Position</t>
  </si>
  <si>
    <t>As of Jan 2026</t>
  </si>
  <si>
    <t>Avg Monthly Burn Rate</t>
  </si>
  <si>
    <t>Total debt service/12</t>
  </si>
  <si>
    <t>Avg Monthly Net Cash</t>
  </si>
  <si>
    <t>After all obligations</t>
  </si>
  <si>
    <t>Runway (months @ break-even)</t>
  </si>
  <si>
    <t>Cash / Monthly burn</t>
  </si>
  <si>
    <t>Projected EOY Cash</t>
  </si>
  <si>
    <t>Dec 2026 ending balance</t>
  </si>
  <si>
    <t>Min DSCR (12-mo)</t>
  </si>
  <si>
    <t>Lowest monthly DSCR</t>
  </si>
  <si>
    <t>Avg DSCR (12-mo)</t>
  </si>
  <si>
    <t>Average monthly DSCR</t>
  </si>
  <si>
    <t>CAPEX PIPELINE &amp; SPEND VS BUDGET</t>
  </si>
  <si>
    <t>CAPEX PROJECT PIPELINE (2026)</t>
  </si>
  <si>
    <t>Project</t>
  </si>
  <si>
    <t>Committed</t>
  </si>
  <si>
    <t>Paid</t>
  </si>
  <si>
    <t>Remaining</t>
  </si>
  <si>
    <t>ETC</t>
  </si>
  <si>
    <t>EAC</t>
  </si>
  <si>
    <t>% Spent</t>
  </si>
  <si>
    <t>HVAC Replacement - Bldg A</t>
  </si>
  <si>
    <t>Major Systems</t>
  </si>
  <si>
    <t>Roof Repair - West Wing</t>
  </si>
  <si>
    <t>Lobby Renovation</t>
  </si>
  <si>
    <t>Common Area</t>
  </si>
  <si>
    <t>Elevator Modernization</t>
  </si>
  <si>
    <t>Pool Deck Resurfacing</t>
  </si>
  <si>
    <t>Unit Upgrades (15 units)</t>
  </si>
  <si>
    <t>Unit Turns</t>
  </si>
  <si>
    <t>Parking Lot Repairs</t>
  </si>
  <si>
    <t>Site Work</t>
  </si>
  <si>
    <t>Security System Upgrade</t>
  </si>
  <si>
    <t>Landscaping Phase 2</t>
  </si>
  <si>
    <t>Contingency Reserve</t>
  </si>
  <si>
    <t>Contingency</t>
  </si>
  <si>
    <t>Planned</t>
  </si>
  <si>
    <t>SPEND BY CATEGORY</t>
  </si>
  <si>
    <t>CAPEX SUMMARY</t>
  </si>
  <si>
    <t>Annual Budget</t>
  </si>
  <si>
    <t>Paid YTD</t>
  </si>
  <si>
    <t>% Utilized</t>
  </si>
  <si>
    <t>Total Committed</t>
  </si>
  <si>
    <t>Total Paid YTD</t>
  </si>
  <si>
    <t>Remaining Budget</t>
  </si>
  <si>
    <t>Uncommitted</t>
  </si>
  <si>
    <t>Projects Complete</t>
  </si>
  <si>
    <t>Projects In Progress</t>
  </si>
  <si>
    <t>DEBT / COVENANT COMPLIANCE</t>
  </si>
  <si>
    <t>ACCOUNTS RECEIVABLE &amp; BAD DEBT ROLLUP</t>
  </si>
  <si>
    <t>ACCOUNTS RECEIVABLE AGING</t>
  </si>
  <si>
    <t>Aging Bucket</t>
  </si>
  <si>
    <t># Accounts</t>
  </si>
  <si>
    <t>Balance</t>
  </si>
  <si>
    <t>Reserve Rate</t>
  </si>
  <si>
    <t>Reserve Amt</t>
  </si>
  <si>
    <t>Total AR</t>
  </si>
  <si>
    <t>Current (0-30 days)</t>
  </si>
  <si>
    <t>Bad Debt Reserve</t>
  </si>
  <si>
    <t>31-60 days</t>
  </si>
  <si>
    <t>Reserve %</t>
  </si>
  <si>
    <t>61-90 days</t>
  </si>
  <si>
    <t>91-120 days</t>
  </si>
  <si>
    <t>Avg Days Outstanding</t>
  </si>
  <si>
    <t>120+ days</t>
  </si>
  <si>
    <t>LEASING FUNNEL &amp; CONVERSION DASHBOARD</t>
  </si>
  <si>
    <t>FUNNEL BY LEAD SOURCE</t>
  </si>
  <si>
    <t>Apps</t>
  </si>
  <si>
    <t>Lead→Tour</t>
  </si>
  <si>
    <t>Tour→App</t>
  </si>
  <si>
    <t>App→Lease</t>
  </si>
  <si>
    <t>CONVERSION BENCHMARKS</t>
  </si>
  <si>
    <t>Lead→Tour Rate</t>
  </si>
  <si>
    <t>Tour→App Rate</t>
  </si>
  <si>
    <t>App→Lease Rate</t>
  </si>
  <si>
    <t>Lead→Lease Rate</t>
  </si>
  <si>
    <t>OCCUPANCY &amp; UNIT MIX / FLOORPLAN PERFORMANCE</t>
  </si>
  <si>
    <t>FLOORPLAN PERFORMANCE</t>
  </si>
  <si>
    <t>Occ %</t>
  </si>
  <si>
    <t>Avg SqFt</t>
  </si>
  <si>
    <t>NER/SqFt</t>
  </si>
  <si>
    <t>Absorption</t>
  </si>
  <si>
    <t>1BR / 1BA</t>
  </si>
  <si>
    <t>1BR + Den</t>
  </si>
  <si>
    <t>2BR / 1BA</t>
  </si>
  <si>
    <t>2BR / 2BA</t>
  </si>
  <si>
    <t>3BR / 2BA</t>
  </si>
  <si>
    <t>TOTAL / WTD AVG</t>
  </si>
  <si>
    <t>NER PERFORMANCE METRICS</t>
  </si>
  <si>
    <t>Change</t>
  </si>
  <si>
    <t>Avg NER (Portfolio)</t>
  </si>
  <si>
    <t>Absorption Rate (units/mo)</t>
  </si>
  <si>
    <t>RENEWAL &amp; RETENTION REPORT</t>
  </si>
  <si>
    <t>RENEWAL RATES BY COHORT (MTD)</t>
  </si>
  <si>
    <t>Cohort</t>
  </si>
  <si>
    <t>Expiring</t>
  </si>
  <si>
    <t>Renewed</t>
  </si>
  <si>
    <t>Renewal %</t>
  </si>
  <si>
    <t>Avg Increase</t>
  </si>
  <si>
    <t>Concession $</t>
  </si>
  <si>
    <t>MTM</t>
  </si>
  <si>
    <t>NTV</t>
  </si>
  <si>
    <t>1st Year Residents</t>
  </si>
  <si>
    <t>2nd Year Residents</t>
  </si>
  <si>
    <t>3+ Year Residents</t>
  </si>
  <si>
    <t>Month-to-Month</t>
  </si>
  <si>
    <t>Corporate/Short-Term</t>
  </si>
  <si>
    <t>CONCESSION ANALYSIS</t>
  </si>
  <si>
    <t>Concession Type</t>
  </si>
  <si>
    <t># Offered</t>
  </si>
  <si>
    <t>Avg Amount</t>
  </si>
  <si>
    <t>Total Value</t>
  </si>
  <si>
    <t>% Accepted</t>
  </si>
  <si>
    <t>Rent Discount (1 mo free)</t>
  </si>
  <si>
    <t>YoY Change</t>
  </si>
  <si>
    <t>Reduced Increase Cap</t>
  </si>
  <si>
    <t>Avg Concession Cost</t>
  </si>
  <si>
    <t>Waived Fees</t>
  </si>
  <si>
    <t>Notice to Vacate %</t>
  </si>
  <si>
    <t>Upgrade/Amenity Credit</t>
  </si>
  <si>
    <t>MTM Conversion %</t>
  </si>
  <si>
    <t>None Required</t>
  </si>
  <si>
    <t>RETENTION TREND (12-MONTH)</t>
  </si>
  <si>
    <t>Retention %</t>
  </si>
  <si>
    <t>Expirations</t>
  </si>
  <si>
    <t>Renewals</t>
  </si>
  <si>
    <t>TURNOVER &amp; MAKE-READY COST REPORT</t>
  </si>
  <si>
    <t>TURNOVER BY UNIT TYPE (MTD)</t>
  </si>
  <si>
    <t>Unit Type</t>
  </si>
  <si>
    <t>Turnover %</t>
  </si>
  <si>
    <t>Avg Cost</t>
  </si>
  <si>
    <t>Total Cost</t>
  </si>
  <si>
    <t>Days Vacant</t>
  </si>
  <si>
    <t>Days to Rent</t>
  </si>
  <si>
    <t>MTD Move-Outs</t>
  </si>
  <si>
    <t>Avg Cost/Turn</t>
  </si>
  <si>
    <t>Total Turn Cost</t>
  </si>
  <si>
    <t>Avg Days Vacant</t>
  </si>
  <si>
    <t>Avg Days to Rent</t>
  </si>
  <si>
    <t>Make-Ready Time</t>
  </si>
  <si>
    <t>On-Time %</t>
  </si>
  <si>
    <t>TOTAL / AVG</t>
  </si>
  <si>
    <t>MAKE-READY TIMING BREAKDOWN</t>
  </si>
  <si>
    <t>MAKE-READY COST BREAKDOWN</t>
  </si>
  <si>
    <t>Phase</t>
  </si>
  <si>
    <t>Target Days</t>
  </si>
  <si>
    <t>Actual Avg</t>
  </si>
  <si>
    <t>% On-Time</t>
  </si>
  <si>
    <t>Move-Out Inspection</t>
  </si>
  <si>
    <t>Cleaning</t>
  </si>
  <si>
    <t>Paint/Touch-up</t>
  </si>
  <si>
    <t>Flooring</t>
  </si>
  <si>
    <t>Flooring (if needed)</t>
  </si>
  <si>
    <t>Appliance Repair</t>
  </si>
  <si>
    <t>Repairs/Maintenance</t>
  </si>
  <si>
    <t>HVAC Service</t>
  </si>
  <si>
    <t>Final Inspection</t>
  </si>
  <si>
    <t>Plumbing</t>
  </si>
  <si>
    <t>Market-Ready</t>
  </si>
  <si>
    <t>Electrical</t>
  </si>
  <si>
    <t>TOTAL DAYS</t>
  </si>
  <si>
    <t>General Repairs</t>
  </si>
  <si>
    <t>MAINTENANCE WORK ORDER &amp; BACKLOG</t>
  </si>
  <si>
    <t>WORK ORDER STATUS BY CATEGORY (MTD)</t>
  </si>
  <si>
    <t>Completed</t>
  </si>
  <si>
    <t>Avg Time (hrs)</t>
  </si>
  <si>
    <t>Backlog</t>
  </si>
  <si>
    <t>Total Open WOs</t>
  </si>
  <si>
    <t>Total Backlog</t>
  </si>
  <si>
    <t>Avg Completion (hrs)</t>
  </si>
  <si>
    <t>Appliances</t>
  </si>
  <si>
    <t>General/Other</t>
  </si>
  <si>
    <t>30+ Day Backlog %</t>
  </si>
  <si>
    <t>Emergency</t>
  </si>
  <si>
    <t>WOs per Unit (MTD)</t>
  </si>
  <si>
    <t>EMERGENCY RESPONSE SLA (MTD)</t>
  </si>
  <si>
    <t>SLA Target</t>
  </si>
  <si>
    <t>Total WOs</t>
  </si>
  <si>
    <t>Met SLA</t>
  </si>
  <si>
    <t>SLA %</t>
  </si>
  <si>
    <t>Avg Response</t>
  </si>
  <si>
    <t>Emergency (&lt;4hr)</t>
  </si>
  <si>
    <t>4 hrs</t>
  </si>
  <si>
    <t>Urgent (&lt;24hr)</t>
  </si>
  <si>
    <t>24 hrs</t>
  </si>
  <si>
    <t>⚠ WATCH</t>
  </si>
  <si>
    <t>Standard (&lt;72hr)</t>
  </si>
  <si>
    <t>72 hrs</t>
  </si>
  <si>
    <t>Scheduled</t>
  </si>
  <si>
    <t>7 days</t>
  </si>
  <si>
    <t>BACKLOG AGING ANALYSIS</t>
  </si>
  <si>
    <t>Total Backlog:</t>
  </si>
  <si>
    <t>Age Bucket</t>
  </si>
  <si>
    <t># WOs</t>
  </si>
  <si>
    <t>% of Backlog</t>
  </si>
  <si>
    <t>Risk Level</t>
  </si>
  <si>
    <t>0-7 days</t>
  </si>
  <si>
    <t>&lt;70%</t>
  </si>
  <si>
    <t>8-14 days</t>
  </si>
  <si>
    <t>15-30 days</t>
  </si>
  <si>
    <t>&lt;8%</t>
  </si>
  <si>
    <t>30+ days</t>
  </si>
  <si>
    <t>RESIDENT SATISFACTION &amp; NPS</t>
  </si>
  <si>
    <t>NPS SUMMARY</t>
  </si>
  <si>
    <t>Promoters</t>
  </si>
  <si>
    <t>Passives</t>
  </si>
  <si>
    <t>Detractors</t>
  </si>
  <si>
    <t>Total</t>
  </si>
  <si>
    <t>Overall Experience</t>
  </si>
  <si>
    <t>Total Responses</t>
  </si>
  <si>
    <t>Maintenance Response</t>
  </si>
  <si>
    <t>Response Rate</t>
  </si>
  <si>
    <t>Promoter %</t>
  </si>
  <si>
    <t>Community Amenities</t>
  </si>
  <si>
    <t>Detractor %</t>
  </si>
  <si>
    <t>Move-In Experience</t>
  </si>
  <si>
    <t>Communication</t>
  </si>
  <si>
    <t>SOURCE-TO-LEASE ATTRIBUTION</t>
  </si>
  <si>
    <t>MARKETING ATTRIBUTION ANALYSIS</t>
  </si>
  <si>
    <t>First Touch</t>
  </si>
  <si>
    <t>Last Touch</t>
  </si>
  <si>
    <t>Multi-Touch</t>
  </si>
  <si>
    <t>Revenue Attr</t>
  </si>
  <si>
    <t>ROAS</t>
  </si>
  <si>
    <t>PROJECT STATUS &amp; EARNED VALUE REPORT</t>
  </si>
  <si>
    <t>DEVELOPMENT PROJECT ENTERPRISE VALUE</t>
  </si>
  <si>
    <t>Stabilized NOI</t>
  </si>
  <si>
    <t>Cap Rate</t>
  </si>
  <si>
    <t>EV</t>
  </si>
  <si>
    <t>Equity</t>
  </si>
  <si>
    <t>ROE</t>
  </si>
  <si>
    <t>Parkside Phase II</t>
  </si>
  <si>
    <t>Downtown Mixed-Use</t>
  </si>
  <si>
    <t>Suburban Garden</t>
  </si>
  <si>
    <t>COST TO COMPLETE / CASHFLOW BY PROJECT</t>
  </si>
  <si>
    <t>DEVELOPMENT COST TO COMPLETE</t>
  </si>
  <si>
    <t>Spent</t>
  </si>
  <si>
    <t>Land &amp; Acquisition</t>
  </si>
  <si>
    <t>Hard Costs</t>
  </si>
  <si>
    <t>Soft Costs</t>
  </si>
  <si>
    <t>Financing Costs</t>
  </si>
  <si>
    <t>ENTITLEMENT &amp; RISK REGISTER</t>
  </si>
  <si>
    <t>ENTITLEMENT &amp; PERMITTING RISK TRACKER</t>
  </si>
  <si>
    <t>Permit Type</t>
  </si>
  <si>
    <t>Submit Date</t>
  </si>
  <si>
    <t>Target Date</t>
  </si>
  <si>
    <t>Days Rem</t>
  </si>
  <si>
    <t>Risk</t>
  </si>
  <si>
    <t>Mitigation</t>
  </si>
  <si>
    <t>Parkside II</t>
  </si>
  <si>
    <t>Site Plan</t>
  </si>
  <si>
    <t>Approved</t>
  </si>
  <si>
    <t>2025-08-15</t>
  </si>
  <si>
    <t>2025-11-01</t>
  </si>
  <si>
    <t>Building Permit</t>
  </si>
  <si>
    <t>In Review</t>
  </si>
  <si>
    <t>2025-12-01</t>
  </si>
  <si>
    <t>2026-03-15</t>
  </si>
  <si>
    <t>Med</t>
  </si>
  <si>
    <t>Weekly check-ins</t>
  </si>
  <si>
    <t>Downtown MU</t>
  </si>
  <si>
    <t>Zoning Variance</t>
  </si>
  <si>
    <t>Submitted</t>
  </si>
  <si>
    <t>2025-11-20</t>
  </si>
  <si>
    <t>2026-02-28</t>
  </si>
  <si>
    <t>Council liaison</t>
  </si>
  <si>
    <t>2026-04-30</t>
  </si>
  <si>
    <t>Pre-app meeting</t>
  </si>
  <si>
    <t>Suburban Gdn</t>
  </si>
  <si>
    <t>2025-09-01</t>
  </si>
  <si>
    <t>2025-12-15</t>
  </si>
  <si>
    <t>2025-12-20</t>
  </si>
  <si>
    <t>QUARTERLY INVESTOR REPORT</t>
  </si>
  <si>
    <t>PORTFOLIO PERFORMANCE SUMMARY - Q4 2025</t>
  </si>
  <si>
    <t>QoQ Δ</t>
  </si>
  <si>
    <t>YoY Δ</t>
  </si>
  <si>
    <t>Average NER</t>
  </si>
  <si>
    <t>ESG / SUSTAINABILITY &amp; SAFETY REPORT</t>
  </si>
  <si>
    <t>ESG &amp; SUSTAINABILITY METRICS</t>
  </si>
  <si>
    <t>Prior Year</t>
  </si>
  <si>
    <t>Energy Use (kWh/sqft)</t>
  </si>
  <si>
    <t>Water Use (gal/sqft)</t>
  </si>
  <si>
    <t>Waste Diversion Rate</t>
  </si>
  <si>
    <t>Carbon Intensity (kg CO2/sqft)</t>
  </si>
  <si>
    <t>ENERGY STAR Score</t>
  </si>
  <si>
    <t>LED Lighting %</t>
  </si>
  <si>
    <t>Smart Thermostat %</t>
  </si>
  <si>
    <t>EV Charging Stations</t>
  </si>
  <si>
    <t>AUTOMATED ALERT DASHBOARD</t>
  </si>
  <si>
    <t>Real-time variance monitoring across all 22 reports | Auto-refresh: Every 15 min | Last Updated: 01/12/2026 08:00</t>
  </si>
  <si>
    <t>ALERT SUMMARY</t>
  </si>
  <si>
    <t>Total Active Alerts</t>
  </si>
  <si>
    <t>Critical (Red)</t>
  </si>
  <si>
    <t>Escalated</t>
  </si>
  <si>
    <t>Acknowledged</t>
  </si>
  <si>
    <t>🔴 CRITICAL ALERTS - IMMEDIATE ACTION REQUIRED</t>
  </si>
  <si>
    <t>Escalate To</t>
  </si>
  <si>
    <t>Time Open</t>
  </si>
  <si>
    <t>FIN_07 →</t>
  </si>
  <si>
    <t>DSCR Covenant</t>
  </si>
  <si>
    <t>≥ 1.20x</t>
  </si>
  <si>
    <t>2 hrs</t>
  </si>
  <si>
    <t>Lender call scheduled</t>
  </si>
  <si>
    <t>OPS_11 →</t>
  </si>
  <si>
    <t>≥ 92%</t>
  </si>
  <si>
    <t>SVP Ops</t>
  </si>
  <si>
    <t>18 hrs</t>
  </si>
  <si>
    <t>🟡 WARNING ALERTS - MONITOR &amp; ACTION WITHIN 48 HRS</t>
  </si>
  <si>
    <t>FIN_04 →</t>
  </si>
  <si>
    <t>≤ 5%</t>
  </si>
  <si>
    <t>Prop Mgr</t>
  </si>
  <si>
    <t>5 days</t>
  </si>
  <si>
    <t>Variance memo due</t>
  </si>
  <si>
    <t>MKT_16 →</t>
  </si>
  <si>
    <t>≤ $75</t>
  </si>
  <si>
    <t>Mktg Mgr</t>
  </si>
  <si>
    <t>Head Mktg</t>
  </si>
  <si>
    <t>3 days</t>
  </si>
  <si>
    <t>Campaign review</t>
  </si>
  <si>
    <t>OPS_13 →</t>
  </si>
  <si>
    <t>Make-Ready Days</t>
  </si>
  <si>
    <t>≤ 7 days</t>
  </si>
  <si>
    <t>1 day</t>
  </si>
  <si>
    <t>Staff overtime</t>
  </si>
  <si>
    <t>OPS_12 →</t>
  </si>
  <si>
    <t>≥ 55%</t>
  </si>
  <si>
    <t>Retention outreach</t>
  </si>
  <si>
    <t>FIN_08 →</t>
  </si>
  <si>
    <t>≤ 3%</t>
  </si>
  <si>
    <t>4 days</t>
  </si>
  <si>
    <t>Collection calls</t>
  </si>
  <si>
    <t>DEV_19 →</t>
  </si>
  <si>
    <t>Cost Variance</t>
  </si>
  <si>
    <t>Proj Mgr</t>
  </si>
  <si>
    <t>2 days</t>
  </si>
  <si>
    <t>Change order review</t>
  </si>
  <si>
    <t>REPORT HEALTH MATRIX - ALL 22 REPORTS</t>
  </si>
  <si>
    <t>Report ID</t>
  </si>
  <si>
    <t>Report Name</t>
  </si>
  <si>
    <t>Last Check</t>
  </si>
  <si>
    <t>FIN_01 →</t>
  </si>
  <si>
    <t>Investor Pack</t>
  </si>
  <si>
    <t>Financial</t>
  </si>
  <si>
    <t>$485K</t>
  </si>
  <si>
    <t>$492K</t>
  </si>
  <si>
    <t>08:00</t>
  </si>
  <si>
    <t>FIN_02 →</t>
  </si>
  <si>
    <t>NOI Pack</t>
  </si>
  <si>
    <t>62%</t>
  </si>
  <si>
    <t>63.1%</t>
  </si>
  <si>
    <t>FIN_03 →</t>
  </si>
  <si>
    <t>Rent Roll</t>
  </si>
  <si>
    <t>Gross Rent</t>
  </si>
  <si>
    <t>$580K</t>
  </si>
  <si>
    <t>$578K</t>
  </si>
  <si>
    <t>≤5%</t>
  </si>
  <si>
    <t>6.2%</t>
  </si>
  <si>
    <t>FIN_05 →</t>
  </si>
  <si>
    <t>Cash Flow</t>
  </si>
  <si>
    <t>Net CF</t>
  </si>
  <si>
    <t>$125K</t>
  </si>
  <si>
    <t>$131K</t>
  </si>
  <si>
    <t>FIN_06 →</t>
  </si>
  <si>
    <t>Capex</t>
  </si>
  <si>
    <t>Budget Used</t>
  </si>
  <si>
    <t>8.3%</t>
  </si>
  <si>
    <t>7.9%</t>
  </si>
  <si>
    <t>Debt Covenant</t>
  </si>
  <si>
    <t>1.20x</t>
  </si>
  <si>
    <t>1.18x</t>
  </si>
  <si>
    <t>AR/Bad Debt</t>
  </si>
  <si>
    <t>Delinquency</t>
  </si>
  <si>
    <t>≤3%</t>
  </si>
  <si>
    <t>3.8%</t>
  </si>
  <si>
    <t>OPS_09 →</t>
  </si>
  <si>
    <t>Leasing OnePager</t>
  </si>
  <si>
    <t>Operations</t>
  </si>
  <si>
    <t>Leases MTD</t>
  </si>
  <si>
    <t>OPS_10 →</t>
  </si>
  <si>
    <t>Leasing Funnel</t>
  </si>
  <si>
    <t>25%</t>
  </si>
  <si>
    <t>23%</t>
  </si>
  <si>
    <t>Occupancy Mix</t>
  </si>
  <si>
    <t>92%</t>
  </si>
  <si>
    <t>91.2%</t>
  </si>
  <si>
    <t>Renewal Retention</t>
  </si>
  <si>
    <t>55%</t>
  </si>
  <si>
    <t>52%</t>
  </si>
  <si>
    <t>Turnover MakeReady</t>
  </si>
  <si>
    <t>Days</t>
  </si>
  <si>
    <t>≤7</t>
  </si>
  <si>
    <t>OPS_14 →</t>
  </si>
  <si>
    <t>Maintenance WO</t>
  </si>
  <si>
    <t>Completion</t>
  </si>
  <si>
    <t>95%</t>
  </si>
  <si>
    <t>94%</t>
  </si>
  <si>
    <t>OPS_15 →</t>
  </si>
  <si>
    <t>Marketing CPA</t>
  </si>
  <si>
    <t>≤$75</t>
  </si>
  <si>
    <t>$82</t>
  </si>
  <si>
    <t>MKT_17 →</t>
  </si>
  <si>
    <t>Attribution</t>
  </si>
  <si>
    <t>Attributed %</t>
  </si>
  <si>
    <t>80%</t>
  </si>
  <si>
    <t>DEV_18 →</t>
  </si>
  <si>
    <t>Project EV</t>
  </si>
  <si>
    <t>IRR</t>
  </si>
  <si>
    <t>15%</t>
  </si>
  <si>
    <t>14.2%</t>
  </si>
  <si>
    <t>Cost Complete</t>
  </si>
  <si>
    <t>Cost Var</t>
  </si>
  <si>
    <t>7.2%</t>
  </si>
  <si>
    <t>DEV_20 →</t>
  </si>
  <si>
    <t>Entitlement Risk</t>
  </si>
  <si>
    <t>CAP_21 →</t>
  </si>
  <si>
    <t>Investor Quarterly</t>
  </si>
  <si>
    <t>NAV Growth</t>
  </si>
  <si>
    <t>5%</t>
  </si>
  <si>
    <t>4.8%</t>
  </si>
  <si>
    <t>ESG_22 →</t>
  </si>
  <si>
    <t>Sustainability</t>
  </si>
  <si>
    <t>Energy Use</t>
  </si>
  <si>
    <t>ESCALATION RULES &amp; RESPONSE TIMES</t>
  </si>
  <si>
    <t>Level</t>
  </si>
  <si>
    <t>Trigger</t>
  </si>
  <si>
    <t>Response Time</t>
  </si>
  <si>
    <t>Notify</t>
  </si>
  <si>
    <t>Auto-Escalate</t>
  </si>
  <si>
    <t>L1 - Monitor</t>
  </si>
  <si>
    <t>Var 0-5%</t>
  </si>
  <si>
    <t>Report Owner</t>
  </si>
  <si>
    <t>Acknowledge &amp; document</t>
  </si>
  <si>
    <t>After 24 hrs → L2</t>
  </si>
  <si>
    <t>L2 - Warning</t>
  </si>
  <si>
    <t>Var 5-10%</t>
  </si>
  <si>
    <t>8 hrs</t>
  </si>
  <si>
    <t>Manager + Asset Mgr</t>
  </si>
  <si>
    <t>Root cause + action plan</t>
  </si>
  <si>
    <t>After 48 hrs → L3</t>
  </si>
  <si>
    <t>L3 - Critical</t>
  </si>
  <si>
    <t>Var &gt;10% or Hard Rule</t>
  </si>
  <si>
    <t>Director + VP</t>
  </si>
  <si>
    <t>Immediate remediation</t>
  </si>
  <si>
    <t>After 4 hrs → L4</t>
  </si>
  <si>
    <t>L4 - Executive</t>
  </si>
  <si>
    <t>Covenant breach</t>
  </si>
  <si>
    <t>Immediate</t>
  </si>
  <si>
    <t>C-Suite + Board</t>
  </si>
  <si>
    <t>Crisis response</t>
  </si>
  <si>
    <t>Board notification</t>
  </si>
  <si>
    <t>VARIANCE THRESHOLD CONFIGURATION</t>
  </si>
  <si>
    <t>Green (OK)</t>
  </si>
  <si>
    <t>Yellow (Warn)</t>
  </si>
  <si>
    <t>Red (Critical)</t>
  </si>
  <si>
    <t>Financial Variance</t>
  </si>
  <si>
    <t>3-7%</t>
  </si>
  <si>
    <t>&gt; 7%</t>
  </si>
  <si>
    <t>≥ 95%</t>
  </si>
  <si>
    <t>92-95%</t>
  </si>
  <si>
    <t>&lt; 92%</t>
  </si>
  <si>
    <t>1.20-1.25x</t>
  </si>
  <si>
    <t>&lt; 1.20x</t>
  </si>
  <si>
    <t>Capital freeze</t>
  </si>
  <si>
    <t>≤ 2%</t>
  </si>
  <si>
    <t>2-4%</t>
  </si>
  <si>
    <t>&gt; 4%</t>
  </si>
  <si>
    <t>≤ 0.8x rent</t>
  </si>
  <si>
    <t>0.8-1.0x rent</t>
  </si>
  <si>
    <t>&gt; 1.0x rent</t>
  </si>
  <si>
    <t>Pause spend</t>
  </si>
  <si>
    <t>≤ 5 days</t>
  </si>
  <si>
    <t>5-10 days</t>
  </si>
  <si>
    <t>&gt; 10 days</t>
  </si>
  <si>
    <t>≥ 60%</t>
  </si>
  <si>
    <t>50-60%</t>
  </si>
  <si>
    <t>&lt; 50%</t>
  </si>
  <si>
    <t>Cost Overrun (Dev)</t>
  </si>
  <si>
    <t>3-8%</t>
  </si>
  <si>
    <t>&gt; 8%</t>
  </si>
  <si>
    <t>RECENT ALERT LOG</t>
  </si>
  <si>
    <t>Timestamp</t>
  </si>
  <si>
    <t>01/12 08:00</t>
  </si>
  <si>
    <t>FIN_07</t>
  </si>
  <si>
    <t>🔴 CRIT</t>
  </si>
  <si>
    <t>ACTIVE</t>
  </si>
  <si>
    <t>Lender call 10am</t>
  </si>
  <si>
    <t>01/12 07:45</t>
  </si>
  <si>
    <t>Leasing sprint started</t>
  </si>
  <si>
    <t>01/11 16:30</t>
  </si>
  <si>
    <t>FIN_04</t>
  </si>
  <si>
    <t>Budget Var &gt; 5%</t>
  </si>
  <si>
    <t>🟡 WARN</t>
  </si>
  <si>
    <t>ACK</t>
  </si>
  <si>
    <t>Memo submitted</t>
  </si>
  <si>
    <t>01/11 14:00</t>
  </si>
  <si>
    <t>Campaign paused</t>
  </si>
  <si>
    <t>01/10 09:15</t>
  </si>
  <si>
    <t>Renewal &lt; 55%</t>
  </si>
  <si>
    <t>RESOLVED</t>
  </si>
  <si>
    <t>Retention calls complete</t>
  </si>
  <si>
    <t>01/09 11:00</t>
  </si>
  <si>
    <t>Follow-up &lt; 95%</t>
  </si>
  <si>
    <t>Backlog cleared</t>
  </si>
  <si>
    <t>📧 EMAIL DISTRIBUTION LIST - ESCALATION NOTIFICATIONS</t>
  </si>
  <si>
    <t>Configure recipients for automated alert notifications by escalation level</t>
  </si>
  <si>
    <t>Name</t>
  </si>
  <si>
    <t>L1 Monitor</t>
  </si>
  <si>
    <t>L2 Warning</t>
  </si>
  <si>
    <t>L3 Critical</t>
  </si>
  <si>
    <t>L4 Executive</t>
  </si>
  <si>
    <t>SMS?</t>
  </si>
  <si>
    <t>Michael Chen</t>
  </si>
  <si>
    <t>mchen@company.com</t>
  </si>
  <si>
    <t>All L4 + covenant breaches</t>
  </si>
  <si>
    <t>Sarah Williams</t>
  </si>
  <si>
    <t>swilliams@company.com</t>
  </si>
  <si>
    <t>Financial alerts only</t>
  </si>
  <si>
    <t>COO</t>
  </si>
  <si>
    <t>David Park</t>
  </si>
  <si>
    <t>dpark@company.com</t>
  </si>
  <si>
    <t>Operations alerts</t>
  </si>
  <si>
    <t>VP Operations</t>
  </si>
  <si>
    <t>Jennifer Martinez</t>
  </si>
  <si>
    <t>jmartinez@company.com</t>
  </si>
  <si>
    <t>Ops &amp; maintenance</t>
  </si>
  <si>
    <t>VP Development</t>
  </si>
  <si>
    <t>Robert Kim</t>
  </si>
  <si>
    <t>rkim@company.com</t>
  </si>
  <si>
    <t>Dev projects only</t>
  </si>
  <si>
    <t>Director Finance</t>
  </si>
  <si>
    <t>Amy Thompson</t>
  </si>
  <si>
    <t>athompson@company.com</t>
  </si>
  <si>
    <t>All financial reports</t>
  </si>
  <si>
    <t>Lisa Wong</t>
  </si>
  <si>
    <t>lwong@company.com</t>
  </si>
  <si>
    <t>Primary escalation contact</t>
  </si>
  <si>
    <t>Tom Richards</t>
  </si>
  <si>
    <t>trichards@company.com</t>
  </si>
  <si>
    <t>Site-level alerts</t>
  </si>
  <si>
    <t>Nicole Davis</t>
  </si>
  <si>
    <t>ndavis@company.com</t>
  </si>
  <si>
    <t>Leasing &amp; occupancy</t>
  </si>
  <si>
    <t>Maintenance Dir</t>
  </si>
  <si>
    <t>James Wilson</t>
  </si>
  <si>
    <t>jwilson@company.com</t>
  </si>
  <si>
    <t>Work orders &amp; emergencies</t>
  </si>
  <si>
    <t>Emily Santos</t>
  </si>
  <si>
    <t>esantos@company.com</t>
  </si>
  <si>
    <t>Marketing KPIs</t>
  </si>
  <si>
    <t>⚙️ NOTIFICATION SETTINGS</t>
  </si>
  <si>
    <t>Alert Frequency:</t>
  </si>
  <si>
    <t>Real-time for L3-L4, Digest for L1-L2</t>
  </si>
  <si>
    <t>Digest Schedule:</t>
  </si>
  <si>
    <t>Daily 8:00 AM, Weekly Monday 8:00 AM</t>
  </si>
  <si>
    <t>SMS Gateway:</t>
  </si>
  <si>
    <t>Twilio (+1-555-ALERT)</t>
  </si>
  <si>
    <t>Email Template:</t>
  </si>
  <si>
    <t>Standard (includes metric, threshold, current, action)</t>
  </si>
  <si>
    <t>Auto-Acknowledge:</t>
  </si>
  <si>
    <t>L1 alerts auto-close after 48 hrs if no action</t>
  </si>
  <si>
    <t>QUICK ACTIONS</t>
  </si>
  <si>
    <t>📧 Email All Executives</t>
  </si>
  <si>
    <t>📧 Email All Directors</t>
  </si>
  <si>
    <t>📧 Email All Managers</t>
  </si>
  <si>
    <t>📧 DSCR Breach → CFO</t>
  </si>
  <si>
    <t>📧 Occupancy Alert → Ops</t>
  </si>
  <si>
    <t>ESCALATION MATRIX SUMMARY</t>
  </si>
  <si>
    <t>Recipients</t>
  </si>
  <si>
    <t>Response SLA</t>
  </si>
  <si>
    <t>Property Mgr, Leasing Mgr, Maint Dir, Mktg Mgr</t>
  </si>
  <si>
    <t>→ L2 after 24 hrs</t>
  </si>
  <si>
    <t>Asset Mgr + Directors</t>
  </si>
  <si>
    <t>→ L3 after 48 hrs</t>
  </si>
  <si>
    <t>VP Ops, VP Dev, Dir Finance</t>
  </si>
  <si>
    <t>→ L4 after 4 hrs</t>
  </si>
  <si>
    <t>CEO, CFO, COO + Board</t>
  </si>
  <si>
    <t>📋 EMAIL TEMPLATES BY ESCALATION LEVEL</t>
  </si>
  <si>
    <t>Click template buttons to generate pre-populated emails with current metric data</t>
  </si>
  <si>
    <t>LEVEL 1 - MONITOR TEMPLATE</t>
  </si>
  <si>
    <t>Subject:</t>
  </si>
  <si>
    <t>[L1 MONITOR] Daily Alert Digest - {{DATE}}</t>
  </si>
  <si>
    <t>📧 Generate L1 Email</t>
  </si>
  <si>
    <t>To:</t>
  </si>
  <si>
    <t>Property Managers, Leasing Managers, Department Heads</t>
  </si>
  <si>
    <t>Body:</t>
  </si>
  <si>
    <t>Daily Performance Alert Summary</t>
  </si>
  <si>
    <t>━━━━━━━━━━━━━━━━━━━━━━━━━━━━━━━━━━</t>
  </si>
  <si>
    <t>The following metrics require monitoring:</t>
  </si>
  <si>
    <t>• Budget Variance: 6.2% (Threshold: ≤5%)</t>
  </si>
  <si>
    <t>• Marketing CPL: $82 (Threshold: ≤$75)</t>
  </si>
  <si>
    <t>• Make-Ready Days: 9.2 (Threshold: ≤7)</t>
  </si>
  <si>
    <t>ACTION: Review and acknowledge within 24 hours.</t>
  </si>
  <si>
    <t>No immediate action required unless trending worse.</t>
  </si>
  <si>
    <t>Dashboard Link: [Alert_Dashboard]</t>
  </si>
  <si>
    <t>LEVEL 2 - WARNING TEMPLATE</t>
  </si>
  <si>
    <t>[L2 WARNING] Action Required - {{METRIC}} Alert</t>
  </si>
  <si>
    <t>📧 Generate L2 Email</t>
  </si>
  <si>
    <t>Asset Manager, Directors, Department Heads</t>
  </si>
  <si>
    <t>⚠️ WARNING ALERT - Action Required Within 8 Hours</t>
  </si>
  <si>
    <t>━━━━━━━━━━━━━━━━━━━━━━━━━━━━━━━━━━━━━━━━━━━━━━━</t>
  </si>
  <si>
    <t>ALERT DETAILS:</t>
  </si>
  <si>
    <t>• Metric: Renewal Rate</t>
  </si>
  <si>
    <t>• Current Value: 52%</t>
  </si>
  <si>
    <t>• Threshold: ≥55%</t>
  </si>
  <si>
    <t>• Variance: -5.5% below target</t>
  </si>
  <si>
    <t>• Time Active: 7 days</t>
  </si>
  <si>
    <t>RECOMMENDED ACTIONS:</t>
  </si>
  <si>
    <t>1. Review expiring leases in next 60 days</t>
  </si>
  <si>
    <t>2. Initiate retention outreach campaign</t>
  </si>
  <si>
    <t>3. Prepare variance explanation memo</t>
  </si>
  <si>
    <t>Auto-escalate to L3 in: 48 hours</t>
  </si>
  <si>
    <t>LEVEL 3 - CRITICAL TEMPLATE</t>
  </si>
  <si>
    <t>[L3 CRITICAL] Immediate Action - {{METRIC}} Breach</t>
  </si>
  <si>
    <t>📧 Generate L3 Email</t>
  </si>
  <si>
    <t>VP Operations, VP Development, Director Finance, Asset Manager</t>
  </si>
  <si>
    <t>🔴 CRITICAL ALERT - Immediate Response Required (2 Hours)</t>
  </si>
  <si>
    <t>━━━━━━━━━━━━━━━━━━━━━━━━━━━━━━━━━━━━━━━━━━━━━━━━━━━━━━━━━</t>
  </si>
  <si>
    <t>BREACH DETAILS:</t>
  </si>
  <si>
    <t>• Metric: Portfolio Occupancy</t>
  </si>
  <si>
    <t>• Current Value: 91.2%</t>
  </si>
  <si>
    <t>• Critical Threshold: 92%</t>
  </si>
  <si>
    <t>• Impact: Revenue at risk ~$15K/month</t>
  </si>
  <si>
    <t>• Time Active: 18 hours</t>
  </si>
  <si>
    <t>ROOT CAUSE ANALYSIS:</t>
  </si>
  <si>
    <t>• 3 unexpected move-outs in Building C</t>
  </si>
  <si>
    <t>• 2 lease cancellations (job relocations)</t>
  </si>
  <si>
    <t>IMMEDIATE ACTIONS REQUIRED:</t>
  </si>
  <si>
    <t>1. Emergency leasing sprint - all hands</t>
  </si>
  <si>
    <t>2. Review pricing strategy for vacant units</t>
  </si>
  <si>
    <t>3. Authorize concession packages if needed</t>
  </si>
  <si>
    <t>Auto-escalate to L4 (Executive) in: 4 hours</t>
  </si>
  <si>
    <t>LEVEL 4 - EXECUTIVE TEMPLATE</t>
  </si>
  <si>
    <t>[L4 EXECUTIVE] URGENT: Covenant Breach - Board Notification Required</t>
  </si>
  <si>
    <t>📧 Generate L4 Email</t>
  </si>
  <si>
    <t>CEO, CFO, COO, Board Members</t>
  </si>
  <si>
    <t>🚨 EXECUTIVE ALERT - IMMEDIATE BOARD NOTIFICATION</t>
  </si>
  <si>
    <t>━━━━━━━━━━━━━━━━━━━━━━━━━━━━━━━━━━━━━━━━━━━━━━━━━</t>
  </si>
  <si>
    <t>COVENANT BREACH NOTIFICATION</t>
  </si>
  <si>
    <t>This alert requires immediate executive attention and</t>
  </si>
  <si>
    <t>potential board notification per governance protocols.</t>
  </si>
  <si>
    <t>• Covenant: Debt Service Coverage Ratio (DSCR)</t>
  </si>
  <si>
    <t>• Required: ≥ 1.20x</t>
  </si>
  <si>
    <t>• Current: 1.18x</t>
  </si>
  <si>
    <t>• Variance: -1.7% below minimum</t>
  </si>
  <si>
    <t>• Cure Period: 30 days per credit agreement</t>
  </si>
  <si>
    <t>FINANCIAL IMPACT:</t>
  </si>
  <si>
    <t>• Potential default trigger if not cured</t>
  </si>
  <si>
    <t>• Cross-default risk to other facilities</t>
  </si>
  <si>
    <t>• Estimated remediation cost: TBD</t>
  </si>
  <si>
    <t>IMMEDIATE ACTIONS TAKEN:</t>
  </si>
  <si>
    <t>1. CFO notified - lender call scheduled 10:00 AM</t>
  </si>
  <si>
    <t>2. Capital freeze implemented pending review</t>
  </si>
  <si>
    <t>3. 30-day cure plan in development</t>
  </si>
  <si>
    <t>REQUIRED DECISIONS:</t>
  </si>
  <si>
    <t>□ Approve lender communication strategy</t>
  </si>
  <si>
    <t>□ Authorize capital reallocation if needed</t>
  </si>
  <si>
    <t>□ Board notification timing</t>
  </si>
  <si>
    <t>Prepared by: Finance Team | Time: {{TIMESTAMP}}</t>
  </si>
  <si>
    <t>📊 CURRENT METRICS FOR EMAIL TEMPLATES</t>
  </si>
  <si>
    <t>Use In</t>
  </si>
  <si>
    <t>≥1.20x</t>
  </si>
  <si>
    <t>🔴 BREACH</t>
  </si>
  <si>
    <t>L4 Template</t>
  </si>
  <si>
    <t>≥92%</t>
  </si>
  <si>
    <t>🔴 CRITICAL</t>
  </si>
  <si>
    <t>L3 Template</t>
  </si>
  <si>
    <t>🟡 WARNING</t>
  </si>
  <si>
    <t>L2 Template</t>
  </si>
  <si>
    <t>≥55%</t>
  </si>
  <si>
    <t>Marketing CPL</t>
  </si>
  <si>
    <t>L1 Template</t>
  </si>
  <si>
    <t>≤7 days</t>
  </si>
  <si>
    <t>Cost Variance (Dev)</t>
  </si>
  <si>
    <t>LEASE EXPIRATION MATRIX</t>
  </si>
  <si>
    <t>12-Month Rolling Lease Expiration Calendar | Portfolio: Sunrise Properties | As of: January 2026</t>
  </si>
  <si>
    <t>EXPIRATION SUMMARY</t>
  </si>
  <si>
    <t>Expiring (12 mo)</t>
  </si>
  <si>
    <t>At Risk</t>
  </si>
  <si>
    <t>EXPIRATIONS BY FLOORPLAN &amp; MONTH</t>
  </si>
  <si>
    <t>% of Type</t>
  </si>
  <si>
    <t>1BR/1BA</t>
  </si>
  <si>
    <t>1BR/1BA+Den</t>
  </si>
  <si>
    <t>2BR/1BA</t>
  </si>
  <si>
    <t>2BR/2BA</t>
  </si>
  <si>
    <t>3BR/2BA</t>
  </si>
  <si>
    <t>Townhome</t>
  </si>
  <si>
    <t>RENEWAL STATUS BY MONTH</t>
  </si>
  <si>
    <t>✓ Renewed</t>
  </si>
  <si>
    <t>⏳ Pending</t>
  </si>
  <si>
    <t>⚠ At Risk</t>
  </si>
  <si>
    <t>✗ NTV Given</t>
  </si>
  <si>
    <t>UPCOMING EXPIRATIONS - NEXT 90 DAYS (Detail View)</t>
  </si>
  <si>
    <t>Bldg</t>
  </si>
  <si>
    <t>Current Rent</t>
  </si>
  <si>
    <t>Gap %</t>
  </si>
  <si>
    <t>Last Contact</t>
  </si>
  <si>
    <t>Renewal Prob</t>
  </si>
  <si>
    <t>A</t>
  </si>
  <si>
    <t>Johnson, M.</t>
  </si>
  <si>
    <t>35%</t>
  </si>
  <si>
    <t>Price sensitive</t>
  </si>
  <si>
    <t>Williams, S.</t>
  </si>
  <si>
    <t>01/10/26</t>
  </si>
  <si>
    <t>100%</t>
  </si>
  <si>
    <t>Signed 12-mo</t>
  </si>
  <si>
    <t>B</t>
  </si>
  <si>
    <t>Chen, L.</t>
  </si>
  <si>
    <t>70%</t>
  </si>
  <si>
    <t>Waiting on decision</t>
  </si>
  <si>
    <t>Garcia, R.</t>
  </si>
  <si>
    <t>02/28/26</t>
  </si>
  <si>
    <t>65%</t>
  </si>
  <si>
    <t>Requested lower rent</t>
  </si>
  <si>
    <t>C</t>
  </si>
  <si>
    <t>Thompson, J.</t>
  </si>
  <si>
    <t>01/02/26</t>
  </si>
  <si>
    <t>0%</t>
  </si>
  <si>
    <t>Relocating for work</t>
  </si>
  <si>
    <t>Martinez, A.</t>
  </si>
  <si>
    <t>03/15/26</t>
  </si>
  <si>
    <t>12/28/25</t>
  </si>
  <si>
    <t>75%</t>
  </si>
  <si>
    <t>Happy resident</t>
  </si>
  <si>
    <t>Brown, K.</t>
  </si>
  <si>
    <t>03/31/26</t>
  </si>
  <si>
    <t>01/06/26</t>
  </si>
  <si>
    <t>40%</t>
  </si>
  <si>
    <t>Noise complaints</t>
  </si>
  <si>
    <t>Lee, D.</t>
  </si>
  <si>
    <t>01/11/26</t>
  </si>
  <si>
    <t>Long-term resident</t>
  </si>
  <si>
    <t>RISK HEAT MAP - REVENUE AT RISK BY MONTH</t>
  </si>
  <si>
    <t>High Risk (&gt;$3K)</t>
  </si>
  <si>
    <t>Medium Risk ($1-3K)</t>
  </si>
  <si>
    <t>Low Risk (&lt;$1K)</t>
  </si>
  <si>
    <t>TOTAL AT RISK</t>
  </si>
  <si>
    <t>PRIORITY ACTIONS</t>
  </si>
  <si>
    <t>STATUS LEGEND</t>
  </si>
  <si>
    <t>Lease signed for renewal term</t>
  </si>
  <si>
    <t>Contact at-risk residents (23 units) within 48 hours</t>
  </si>
  <si>
    <t>01/14/26</t>
  </si>
  <si>
    <t>Contacted, awaiting decision</t>
  </si>
  <si>
    <t>Prepare competitive renewal offers for Q1 expirations</t>
  </si>
  <si>
    <t>May not renew (price/issues)</t>
  </si>
  <si>
    <t>Review pricing strategy for 2BR units (lowest renewal %)</t>
  </si>
  <si>
    <t>Revenue Mgr</t>
  </si>
  <si>
    <t>Notice to vacate received</t>
  </si>
  <si>
    <t>Schedule retention calls for Building C residents</t>
  </si>
  <si>
    <t>01/13/26</t>
  </si>
  <si>
    <t>ROLLING 12-MONTH FORECAST</t>
  </si>
  <si>
    <t>Automatically updates with actuals | Forecast Period: Jan 2026 - Dec 2026</t>
  </si>
  <si>
    <t>CONTROL PANEL</t>
  </si>
  <si>
    <t>Current Month:</t>
  </si>
  <si>
    <t>Last Actual:</t>
  </si>
  <si>
    <t>Forecast Version:</t>
  </si>
  <si>
    <t>RF2 - Jan 2026</t>
  </si>
  <si>
    <t>FY Total</t>
  </si>
  <si>
    <t>YoY %</t>
  </si>
  <si>
    <t>Data Type →</t>
  </si>
  <si>
    <t>F</t>
  </si>
  <si>
    <t>Admin &amp; G&amp;A</t>
  </si>
  <si>
    <t>CAPITAL &amp; DEBT SERVICE</t>
  </si>
  <si>
    <t>Capital Expenditures</t>
  </si>
  <si>
    <t>Debt Service</t>
  </si>
  <si>
    <t>Total Capital &amp; Debt</t>
  </si>
  <si>
    <t>NET CASH FLOW</t>
  </si>
  <si>
    <t>FORECAST ACCURACY TRACKING</t>
  </si>
  <si>
    <t>Accuracy</t>
  </si>
  <si>
    <t>Operating Expenses</t>
  </si>
  <si>
    <t>KEY ASSUMPTIONS</t>
  </si>
  <si>
    <t>Assumption</t>
  </si>
  <si>
    <t>Rent Growth Rate</t>
  </si>
  <si>
    <t>3.2%</t>
  </si>
  <si>
    <t>Annual escalation on renewals</t>
  </si>
  <si>
    <t>Occupancy Target</t>
  </si>
  <si>
    <t>Stabilized occupancy assumption</t>
  </si>
  <si>
    <t>Expense Inflation</t>
  </si>
  <si>
    <t>2.5%</t>
  </si>
  <si>
    <t>General operating expense growth</t>
  </si>
  <si>
    <t>CapEx Reserve</t>
  </si>
  <si>
    <t>$194K</t>
  </si>
  <si>
    <t>Annual capital reserve budget</t>
  </si>
  <si>
    <t>$125K/mo</t>
  </si>
  <si>
    <t>Fixed P&amp;I on term loan</t>
  </si>
  <si>
    <t>HOW TO USE THIS MODEL</t>
  </si>
  <si>
    <t>1. Update Current Month (C6) when closing the books each month (1=Jan, 2=Feb, etc.)</t>
  </si>
  <si>
    <t>2. Months ≤ Current Month show ACTUALS (marked 'A'), future months show FORECAST (marked 'F')</t>
  </si>
  <si>
    <t>3. Replace forecast values with actuals as they become available</t>
  </si>
  <si>
    <t>4. Review Forecast Accuracy section to track budget vs actual performance</t>
  </si>
  <si>
    <t>5. Update assumptions in Key Assumptions section when reforecasting</t>
  </si>
  <si>
    <t>SENSITIVITY ANALYSIS MODEL</t>
  </si>
  <si>
    <t>What-If Scenario Analysis | Base Case vs Upside vs Downside | FY 2026</t>
  </si>
  <si>
    <t>INPUT ASSUMPTIONS (Edit Yellow Cells)</t>
  </si>
  <si>
    <t>Downside</t>
  </si>
  <si>
    <t>Base Case</t>
  </si>
  <si>
    <t>Upside</t>
  </si>
  <si>
    <t>Annual Rent Growth</t>
  </si>
  <si>
    <t>% change in rental rates</t>
  </si>
  <si>
    <t>Occupancy Rate</t>
  </si>
  <si>
    <t>Average occupancy</t>
  </si>
  <si>
    <t>Expense Growth</t>
  </si>
  <si>
    <t>OpEx inflation rate</t>
  </si>
  <si>
    <t>% of revenue</t>
  </si>
  <si>
    <t>CapEx ($/unit)</t>
  </si>
  <si>
    <t>Annual per unit</t>
  </si>
  <si>
    <t>BASE FINANCIAL INPUTS</t>
  </si>
  <si>
    <t>units</t>
  </si>
  <si>
    <t>Base Monthly Rent</t>
  </si>
  <si>
    <t>Other Income (% of Rent)</t>
  </si>
  <si>
    <t>Base OpEx ($/unit/year)</t>
  </si>
  <si>
    <t>Debt Service (Annual)</t>
  </si>
  <si>
    <t>SCENARIO COMPARISON - ANNUAL PROJECTIONS</t>
  </si>
  <si>
    <t>Δ Down vs Base</t>
  </si>
  <si>
    <t>Δ Up vs Base</t>
  </si>
  <si>
    <t>Effective Rental Revenue</t>
  </si>
  <si>
    <t>Less: Bad Debt</t>
  </si>
  <si>
    <t>Cash-on-Cash Return</t>
  </si>
  <si>
    <t>SINGLE VARIABLE SENSITIVITY - NOI IMPACT</t>
  </si>
  <si>
    <t>Rent Growth Impact on NOI</t>
  </si>
  <si>
    <t>Rent Growth</t>
  </si>
  <si>
    <t>NOI ($)</t>
  </si>
  <si>
    <t>Δ vs Base</t>
  </si>
  <si>
    <t>Occupancy Impact on NOI</t>
  </si>
  <si>
    <t>TWO-WAY SENSITIVITY: NOI by Rent Growth × Occupancy</t>
  </si>
  <si>
    <t>NOI ($000s)</t>
  </si>
  <si>
    <t>KEY INSIGHTS &amp; RISK ASSESSMENT</t>
  </si>
  <si>
    <t>SCENARIO VERDICT</t>
  </si>
  <si>
    <t>Interpretation</t>
  </si>
  <si>
    <t>Downside:</t>
  </si>
  <si>
    <t>⚠ HIGH RISK</t>
  </si>
  <si>
    <t>Breakeven Occupancy (at Base Rent)</t>
  </si>
  <si>
    <t>Minimum occupancy to cover OpEx + Debt</t>
  </si>
  <si>
    <t>Base Case:</t>
  </si>
  <si>
    <t>✓ VIABLE</t>
  </si>
  <si>
    <t>Revenue per 1% Occupancy</t>
  </si>
  <si>
    <t>$/year per 1% occupancy change</t>
  </si>
  <si>
    <t>Upside:</t>
  </si>
  <si>
    <t>✓ STRONG</t>
  </si>
  <si>
    <t>Revenue per 1% Rent Growth</t>
  </si>
  <si>
    <t>$/year per 1% rent change</t>
  </si>
  <si>
    <t>Probability:</t>
  </si>
  <si>
    <t>20% / 60% / 20%</t>
  </si>
  <si>
    <t>DSCR Cushion (Base)</t>
  </si>
  <si>
    <t>Buffer above 1.20x covenant</t>
  </si>
  <si>
    <t>Downside DSCR Risk</t>
  </si>
  <si>
    <t>⚠ COVENANT BREACH</t>
  </si>
  <si>
    <t>Covenant check</t>
  </si>
  <si>
    <t>SCENARIO COMPARISON TOOL</t>
  </si>
  <si>
    <t>Side-by-Side Base vs Upside vs Downside Analysis | FY 2026 Projections</t>
  </si>
  <si>
    <t>SCENARIO DEFINITIONS</t>
  </si>
  <si>
    <t>Parameter</t>
  </si>
  <si>
    <t>🔴 Downside</t>
  </si>
  <si>
    <t>📊 Base Case</t>
  </si>
  <si>
    <t>🟢 Upside</t>
  </si>
  <si>
    <t>Probability</t>
  </si>
  <si>
    <t>3.0%</t>
  </si>
  <si>
    <t>5.0%</t>
  </si>
  <si>
    <t>90.0%</t>
  </si>
  <si>
    <t>95.0%</t>
  </si>
  <si>
    <t>97.0%</t>
  </si>
  <si>
    <t>1.5%</t>
  </si>
  <si>
    <t>Bad Debt</t>
  </si>
  <si>
    <t>4.0%</t>
  </si>
  <si>
    <t>2.0%</t>
  </si>
  <si>
    <t>1.0%</t>
  </si>
  <si>
    <t>Probability Weight</t>
  </si>
  <si>
    <t>20%</t>
  </si>
  <si>
    <t>60%</t>
  </si>
  <si>
    <t>FINANCIAL PROJECTIONS</t>
  </si>
  <si>
    <t>Down vs Base</t>
  </si>
  <si>
    <t>Up vs Base</t>
  </si>
  <si>
    <t>Prob-Wtd Value</t>
  </si>
  <si>
    <t>Effective Revenue</t>
  </si>
  <si>
    <t>KEY PERFORMANCE METRICS</t>
  </si>
  <si>
    <t>Covenant/Target</t>
  </si>
  <si>
    <t>✗ Below</t>
  </si>
  <si>
    <t>⚠ Below</t>
  </si>
  <si>
    <t>Yield on Cost</t>
  </si>
  <si>
    <t>Breakeven Occupancy</t>
  </si>
  <si>
    <t>VARIANCE ANALYSIS - DOWNSIDE VS BASE</t>
  </si>
  <si>
    <t>$ Impact</t>
  </si>
  <si>
    <t>% Impact</t>
  </si>
  <si>
    <t>Root Cause</t>
  </si>
  <si>
    <t>Revenue Impact</t>
  </si>
  <si>
    <t>Rent decline + higher vacancy</t>
  </si>
  <si>
    <t>Expense Impact</t>
  </si>
  <si>
    <t>Higher inflation on OpEx</t>
  </si>
  <si>
    <t>NOI Impact</t>
  </si>
  <si>
    <t>Combined revenue/expense effect</t>
  </si>
  <si>
    <t>Cash Flow Impact</t>
  </si>
  <si>
    <t>After debt service</t>
  </si>
  <si>
    <t>VARIANCE ANALYSIS - UPSIDE VS BASE</t>
  </si>
  <si>
    <t>Rent growth + higher occupancy</t>
  </si>
  <si>
    <t>Lower inflation + efficiencies</t>
  </si>
  <si>
    <t>Combined favorable effects</t>
  </si>
  <si>
    <t>After lower CapEx</t>
  </si>
  <si>
    <t>EXECUTIVE SUMMARY &amp; RECOMMENDATION</t>
  </si>
  <si>
    <t>SCENARIO VERDICTS</t>
  </si>
  <si>
    <t>RISK MITIGATION STRATEGIES</t>
  </si>
  <si>
    <t>⚠ HIGH RISK - Negative cash flow, near-breach DSCR</t>
  </si>
  <si>
    <t>1. Maintain 95% occupancy through proactive leasing</t>
  </si>
  <si>
    <t>✓ VIABLE - Positive returns, comfortable DSCR cushion</t>
  </si>
  <si>
    <t>2. Lock in multi-year vendor contracts to control OpEx</t>
  </si>
  <si>
    <t>✓ STRONG - Exceeds all targets, attractive returns</t>
  </si>
  <si>
    <t>3. Build 6-month debt service reserve ($750K)</t>
  </si>
  <si>
    <t>4. Monitor leading indicators weekly (traffic, apps)</t>
  </si>
  <si>
    <t>INVESTMENT DECISION MATRIX</t>
  </si>
  <si>
    <t>If Scenario →</t>
  </si>
  <si>
    <t>Then Action</t>
  </si>
  <si>
    <t>Downside materializes</t>
  </si>
  <si>
    <t>Reduce CapEx, defer non-critical projects, tighten collections</t>
  </si>
  <si>
    <t>Base Case tracking</t>
  </si>
  <si>
    <t>Proceed with planned investments, maintain reserves</t>
  </si>
  <si>
    <t>Upside materializes</t>
  </si>
  <si>
    <t>Accelerate value-add CapEx, consider acquisition opportunities</t>
  </si>
  <si>
    <t>RECOMMENDATION:</t>
  </si>
  <si>
    <t>PROCEED with Base Case assumptions. Probability-weighted NOI of $2.29M supports investment thesis. Monitor occupancy and rent trends monthly.</t>
  </si>
  <si>
    <t>VARIANCE TREND ANALYSIS</t>
  </si>
  <si>
    <t>12-Month History: Actual vs Budget vs Forecast by Cost Center | Feb 2025 - Jan 2026</t>
  </si>
  <si>
    <t>TOTAL REVENUE TREND</t>
  </si>
  <si>
    <t>Series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</si>
  <si>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</si>
  <si>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</si>
  <si>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</si>
  <si>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</si>
  <si>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</si>
  <si>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</si>
  <si>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</si>
  <si>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</si>
  <si>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</si>
  <si>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</si>
  <si>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</si>
  <si>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YTD</t>
  </si>
  <si>
    <t>Forecast</t>
  </si>
  <si>
    <t>Var % (A vs B)</t>
  </si>
  <si>
    <t>OPERATING EXPENSES TREND</t>
  </si>
  <si>
    <t>NET OPERATING INCOME TREND</t>
  </si>
  <si>
    <t>Actual NOI</t>
  </si>
  <si>
    <t>Budget NOI</t>
  </si>
  <si>
    <t>Forecast NOI</t>
  </si>
  <si>
    <t>COST CENTER BREAKDOWN</t>
  </si>
  <si>
    <t>VARIANCE SUMMARY STATISTICS</t>
  </si>
  <si>
    <t>Avg Monthly</t>
  </si>
  <si>
    <t>Worst Month</t>
  </si>
  <si>
    <t>Best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</si>
</sst>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37858" formatCode="_([$$-409]* #,##0.00_);_([$$-409]* (#,##0.00);_([$$-409]* &quot;-&quot;??_);_(@_)"/>
    <numFmt numFmtId="37859" formatCode="0.0%"/>
    <numFmt numFmtId="37860" formatCode="0.00x"/>
    <numFmt numFmtId="37861" formatCode="+0.0%;-0.0%"/>
    <numFmt numFmtId="37862" formatCode="#,##0.0"/>
    <numFmt numFmtId="37866" formatCode="+$#,##0;-$#,##0"/>
    <numFmt numFmtId="37869" formatCode="$#,##0.00"/>
    <numFmt numFmtId="37870" formatCode="$0.000"/>
    <numFmt numFmtId="37871" formatCode="0.0"/>
    <numFmt numFmtId="37880" formatCode="0.0x"/>
    <numFmt numFmtId="37888" formatCode="+#,##0;-#,##0"/>
    <numFmt numFmtId="37889" formatCode="+0.00;-0.00"/>
    <numFmt numFmtId="37890" formatCode="+0.0;-0.0"/>
    <numFmt numFmtId="37910" formatCode="$#,##0"/>
    <numFmt numFmtId="37935" formatCode="mmmm d, yyyy"/>
    <numFmt numFmtId="37959" formatCode="M/d/yyyy"/>
    <numFmt numFmtId="37970" formatCode="$0.00"/>
    <numFmt numFmtId="38007" formatCode="+$0.00;-$0.00"/>
    <numFmt numFmtId="38013" formatCode="+0;-0"/>
    <numFmt numFmtId="38038" formatCode="_([$$-409]* #,##0.0_);_([$$-409]* (#,##0.0);_([$$-409]* &quot;-&quot;??_);_(@_)"/>
  </numFmts>
  <fonts count="158">
    <font>
      <b val="0"/>
      <i val="0"/>
      <sz val="12"/>
      <color theme="1"/>
      <name val="Calibri"/>
      <scheme val="minor"/>
    </font>
    <font>
      <b val="0"/>
      <i val="0"/>
      <sz val="12"/>
      <color theme="1"/>
      <name val="Aptos Narrow"/>
      <scheme val="minor"/>
    </font>
    <font>
      <b/>
      <i val="0"/>
      <sz val="28"/>
      <color rgb="FF1F4E79"/>
      <name val="Aptos Narrow"/>
    </font>
    <font>
      <b val="0"/>
      <i val="0"/>
      <color auto="1"/>
      <name val="Calibri"/>
      <scheme val="minor"/>
    </font>
    <font>
      <b/>
      <i val="0"/>
      <sz val="22"/>
      <color rgb="FFFFFFFF"/>
      <name val="Aptos Narrow"/>
    </font>
    <font>
      <b val="0"/>
      <i val="0"/>
      <sz val="18"/>
      <color rgb="FF666666"/>
      <name val="Aptos Narrow"/>
    </font>
    <font>
      <b val="0"/>
      <i/>
      <sz val="12"/>
      <color rgb="FF999999"/>
      <name val="Aptos Narrow"/>
    </font>
    <font>
      <b val="0"/>
      <i/>
      <sz val="10"/>
      <color rgb="FF999999"/>
      <name val="Aptos Narrow"/>
    </font>
    <font>
      <b/>
      <i val="0"/>
      <sz val="14"/>
      <color rgb="FFFFFFFF"/>
      <name val="Aptos Narrow"/>
    </font>
    <font>
      <b/>
      <i val="0"/>
      <sz val="10"/>
      <color rgb="FF666666"/>
      <name val="Aptos Narrow"/>
    </font>
    <font>
      <b/>
      <i val="0"/>
      <sz val="18"/>
      <color rgb="FF1F4E79"/>
      <name val="Aptos Narrow"/>
    </font>
    <font>
      <b/>
      <i val="0"/>
      <sz val="18"/>
      <color rgb="FF2E7D32"/>
      <name val="Aptos Narrow"/>
    </font>
    <font>
      <b val="0"/>
      <i val="0"/>
      <sz val="10"/>
      <color rgb="FF666666"/>
      <name val="Aptos Narrow"/>
    </font>
    <font>
      <b val="0"/>
      <i val="0"/>
      <sz val="10"/>
      <color rgb="FF2E7D32"/>
      <name val="Aptos Narrow"/>
    </font>
    <font>
      <b/>
      <i val="0"/>
      <sz val="11"/>
      <color rgb="FFFFFFFF"/>
      <name val="Aptos Narrow"/>
    </font>
    <font>
      <b/>
      <i val="0"/>
      <sz val="9"/>
      <color auto="1"/>
      <name val="Aptos Narrow"/>
    </font>
    <font>
      <b val="0"/>
      <i val="0"/>
      <sz val="9"/>
      <color auto="1"/>
      <name val="Aptos Narrow"/>
    </font>
    <font>
      <b/>
      <i val="0"/>
      <sz val="11"/>
      <color auto="1"/>
      <name val="Aptos Narrow"/>
    </font>
    <font>
      <b val="0"/>
      <i/>
      <sz val="10"/>
      <color rgb="FF666666"/>
      <name val="Aptos Narrow"/>
    </font>
    <font>
      <b/>
      <i val="0"/>
      <sz val="9"/>
      <color rgb="FFC62828"/>
      <name val="Aptos Narrow"/>
    </font>
    <font>
      <b/>
      <i val="0"/>
      <sz val="10"/>
      <color rgb="FF2E7D32"/>
      <name val="Aptos Narrow"/>
    </font>
    <font>
      <b/>
      <i val="0"/>
      <sz val="9"/>
      <color rgb="FF2E7D32"/>
      <name val="Aptos Narrow"/>
    </font>
    <font>
      <b/>
      <i val="0"/>
      <sz val="10"/>
      <color rgb="FFF57C00"/>
      <name val="Aptos Narrow"/>
    </font>
    <font>
      <b/>
      <i val="0"/>
      <sz val="10"/>
      <color auto="1"/>
      <name val="Aptos Narrow"/>
    </font>
    <font>
      <b/>
      <i val="0"/>
      <sz val="10"/>
      <color rgb="FF1F4E79"/>
      <name val="Aptos Narrow"/>
    </font>
    <font>
      <b/>
      <i val="0"/>
      <sz val="9"/>
      <color rgb="FFF57C00"/>
      <name val="Aptos Narrow"/>
    </font>
    <font>
      <b/>
      <i val="0"/>
      <sz val="10"/>
      <color rgb="FFC62828"/>
      <name val="Aptos Narrow"/>
    </font>
    <font>
      <b val="0"/>
      <i/>
      <sz val="9"/>
      <color rgb="FF999999"/>
      <name val="Aptos Narrow"/>
    </font>
    <font>
      <b/>
      <i val="0"/>
      <sz val="18"/>
      <color rgb="FFFFFFFF"/>
      <name val="Aptos Narrow"/>
    </font>
    <font>
      <b val="0"/>
      <i/>
      <sz val="11"/>
      <color rgb="FF1F4E79"/>
      <name val="Aptos Narrow"/>
    </font>
    <font>
      <b/>
      <i val="0"/>
      <sz val="12"/>
      <color rgb="FFFFFFFF"/>
      <name val="Aptos Narrow"/>
    </font>
    <font>
      <b/>
      <i val="0"/>
      <sz val="16"/>
      <color rgb="FF1F4E79"/>
      <name val="Aptos Narrow"/>
    </font>
    <font>
      <b/>
      <i val="0"/>
      <sz val="16"/>
      <color rgb="FF1565C0"/>
      <name val="Aptos Narrow"/>
    </font>
    <font>
      <b/>
      <i val="0"/>
      <sz val="16"/>
      <color rgb="FF7B1FA2"/>
      <name val="Aptos Narrow"/>
    </font>
    <font>
      <b/>
      <i val="0"/>
      <sz val="16"/>
      <color rgb="FFF57C00"/>
      <name val="Aptos Narrow"/>
    </font>
    <font>
      <b/>
      <i val="0"/>
      <sz val="16"/>
      <color rgb="FFC62828"/>
      <name val="Aptos Narrow"/>
    </font>
    <font>
      <b/>
      <i val="0"/>
      <sz val="16"/>
      <color rgb="FF00695C"/>
      <name val="Aptos Narrow"/>
    </font>
    <font>
      <b/>
      <i val="0"/>
      <sz val="11"/>
      <color rgb="FF2E7D32"/>
      <name val="Aptos Narrow"/>
    </font>
    <font>
      <b/>
      <i val="0"/>
      <sz val="11"/>
      <color rgb="FFF57C00"/>
      <name val="Aptos Narrow"/>
    </font>
    <font>
      <b/>
      <i val="0"/>
      <sz val="11"/>
      <color rgb="FFC62828"/>
      <name val="Aptos Narrow"/>
    </font>
    <font>
      <b/>
      <i val="0"/>
      <sz val="11"/>
      <color rgb="FF1F4E79"/>
      <name val="Aptos Narrow"/>
    </font>
    <font>
      <b/>
      <i val="0"/>
      <sz val="10"/>
      <color rgb="FFFFFFFF"/>
      <name val="Aptos Narrow"/>
    </font>
    <font>
      <b val="0"/>
      <i/>
      <sz val="9"/>
      <color rgb="FF666666"/>
      <name val="Aptos Narrow"/>
    </font>
    <font>
      <b val="0"/>
      <i val="0"/>
      <sz val="9"/>
      <color rgb="FF999999"/>
      <name val="Aptos Narrow"/>
    </font>
    <font>
      <b/>
      <i val="0"/>
      <sz val="14"/>
      <color rgb="FF1F4E79"/>
      <name val="Aptos Narrow"/>
    </font>
    <font>
      <b/>
      <i val="0"/>
      <sz val="14"/>
      <color rgb="FF2E7D32"/>
      <name val="Aptos Narrow"/>
    </font>
    <font>
      <b/>
      <i val="0"/>
      <sz val="14"/>
      <color rgb="FFC62828"/>
      <name val="Aptos Narrow"/>
    </font>
    <font>
      <b/>
      <i val="0"/>
      <sz val="14"/>
      <color rgb="FFF57C00"/>
      <name val="Aptos Narrow"/>
    </font>
    <font>
      <b/>
      <i val="0"/>
      <sz val="12"/>
      <color auto="1"/>
      <name val="Aptos Narrow"/>
    </font>
    <font>
      <b/>
      <i val="0"/>
      <sz val="14"/>
      <color auto="1"/>
      <name val="Aptos Narrow"/>
    </font>
    <font>
      <b val="0"/>
      <i val="0"/>
      <sz val="9"/>
      <color rgb="FF666666"/>
      <name val="Aptos Narrow"/>
    </font>
    <font>
      <b/>
      <i val="0"/>
      <sz val="16"/>
      <color rgb="FFFFFFFF"/>
      <name val="Aptos Narrow"/>
    </font>
    <font>
      <b val="0"/>
      <i/>
      <sz val="10"/>
      <color rgb="FF1F4E79"/>
      <name val="Aptos Narrow"/>
    </font>
    <font>
      <b/>
      <i val="0"/>
      <sz val="12"/>
      <color rgb="FF1F4E79"/>
      <name val="Aptos Narrow"/>
    </font>
    <font>
      <b/>
      <i val="0"/>
      <sz val="12"/>
      <color rgb="FF2E7D32"/>
      <name val="Aptos Narrow"/>
    </font>
    <font>
      <b/>
      <i val="0"/>
      <sz val="9"/>
      <color rgb="FF999999"/>
      <name val="Aptos Narrow"/>
    </font>
    <font>
      <b/>
      <i val="0"/>
      <sz val="16"/>
      <color rgb="FF2E7D32"/>
      <name val="Aptos Narrow"/>
    </font>
    <font>
      <b/>
      <i val="0"/>
      <sz val="10"/>
      <color rgb="FF006400"/>
      <name val="Aptos Narrow"/>
    </font>
    <font>
      <b val="0"/>
      <i val="0"/>
      <color rgb="FF006400"/>
      <name val="Calibri"/>
      <scheme val="minor"/>
    </font>
    <font>
      <b val="0"/>
      <i val="0"/>
      <color rgb="FFFF8C00"/>
      <name val="Calibri"/>
      <scheme val="minor"/>
    </font>
    <font>
      <b val="0"/>
      <i val="0"/>
      <color rgb="FF0070C0"/>
      <name val="Calibri"/>
      <scheme val="minor"/>
    </font>
    <font>
      <b val="0"/>
      <i val="0"/>
      <color rgb="FFC00000"/>
      <name val="Calibri"/>
      <scheme val="minor"/>
    </font>
    <font>
      <b val="0"/>
      <i val="0"/>
      <color rgb="FF7030A0"/>
      <name val="Calibri"/>
      <scheme val="minor"/>
    </font>
    <font>
      <b/>
      <i val="0"/>
      <sz val="18"/>
      <color rgb="FFFFFFFF"/>
      <name val="Calibri"/>
    </font>
    <font>
      <b val="0"/>
      <i/>
      <sz val="10"/>
      <color rgb="FF666666"/>
      <name val="Calibri"/>
    </font>
    <font>
      <b/>
      <i val="0"/>
      <sz val="12"/>
      <color rgb="FFFFFFFF"/>
      <name val="Calibri"/>
    </font>
    <font>
      <b/>
      <i val="0"/>
      <sz val="10"/>
      <color rgb="FF666666"/>
      <name val="Calibri"/>
    </font>
    <font>
      <b/>
      <i val="0"/>
      <sz val="28"/>
      <color rgb="FF1F4E79"/>
      <name val="Calibri"/>
    </font>
    <font>
      <b/>
      <i val="0"/>
      <sz val="11"/>
      <color rgb="FF1F4E79"/>
      <name val="Calibri"/>
    </font>
    <font>
      <b/>
      <i val="0"/>
      <sz val="9"/>
      <color auto="1"/>
      <name val="Calibri"/>
    </font>
    <font>
      <b val="0"/>
      <i val="0"/>
      <sz val="9"/>
      <color auto="1"/>
      <name val="Calibri"/>
    </font>
    <font>
      <b/>
      <i val="0"/>
      <sz val="9"/>
      <color rgb="FFC00000"/>
      <name val="Calibri"/>
    </font>
    <font>
      <b/>
      <i val="0"/>
      <sz val="9"/>
      <color rgb="FFFFA500"/>
      <name val="Calibri"/>
    </font>
    <font>
      <b/>
      <i val="0"/>
      <sz val="11"/>
      <color rgb="FFFFFFFF"/>
      <name val="Calibri"/>
    </font>
    <font>
      <b val="0"/>
      <i/>
      <sz val="9"/>
      <color rgb="FF999999"/>
      <name val="Calibri"/>
    </font>
    <font>
      <b/>
      <i val="0"/>
      <sz val="16"/>
      <color rgb="FFFFFFFF"/>
      <name val="Calibri"/>
    </font>
    <font>
      <b/>
      <i val="0"/>
      <sz val="14"/>
      <color rgb="FF1F4E79"/>
      <name val="Calibri"/>
    </font>
    <font>
      <b val="0"/>
      <i/>
      <sz val="9"/>
      <color rgb="FF008000"/>
      <name val="Calibri"/>
    </font>
    <font>
      <b/>
      <i val="0"/>
      <sz val="9"/>
      <color rgb="FFFF0000"/>
      <name val="Calibri"/>
    </font>
    <font>
      <b/>
      <i val="0"/>
      <sz val="9"/>
      <color rgb="FF8B0000"/>
      <name val="Calibri"/>
    </font>
    <font>
      <b val="0"/>
      <i val="0"/>
      <sz val="9"/>
      <color rgb="FF008000"/>
      <name val="Calibri"/>
    </font>
    <font>
      <b val="0"/>
      <i val="0"/>
      <sz val="9"/>
      <color rgb="FFFF0000"/>
      <name val="Calibri"/>
    </font>
    <font>
      <b val="0"/>
      <i val="0"/>
      <sz val="9"/>
      <color rgb="FF666666"/>
      <name val="Calibri"/>
    </font>
    <font>
      <b/>
      <i val="0"/>
      <sz val="18"/>
      <color theme="1"/>
      <name val="Aptos Narrow"/>
    </font>
    <font>
      <b/>
      <i val="0"/>
      <sz val="12"/>
      <color theme="1"/>
      <name val="Aptos Narrow"/>
    </font>
    <font>
      <b/>
      <i val="0"/>
      <sz val="12"/>
      <color rgb="FF1F4E79"/>
      <name val="Calibri"/>
    </font>
    <font>
      <b/>
      <i val="0"/>
      <sz val="10"/>
      <color theme="1"/>
      <name val="Calibri"/>
    </font>
    <font>
      <b val="0"/>
      <i val="0"/>
      <sz val="10"/>
      <color theme="1"/>
      <name val="Calibri"/>
    </font>
    <font>
      <b val="0"/>
      <i val="0"/>
      <sz val="10"/>
      <color rgb="FF626468"/>
      <name val="Calibri"/>
    </font>
    <font>
      <b/>
      <i val="0"/>
      <sz val="10"/>
      <color rgb="FF626468"/>
      <name val="Aptos Narrow"/>
    </font>
    <font>
      <b val="0"/>
      <i val="0"/>
      <sz val="10"/>
      <color rgb="FF2E7D32"/>
      <name val="Calibri"/>
    </font>
    <font>
      <b val="0"/>
      <i val="0"/>
      <sz val="10"/>
      <color rgb="FF1565C0"/>
      <name val="Calibri"/>
    </font>
    <font>
      <b/>
      <i val="0"/>
      <sz val="24"/>
      <color rgb="FFD32F2F"/>
      <name val="Aptos Narrow"/>
    </font>
    <font>
      <b/>
      <i val="0"/>
      <sz val="20"/>
      <color rgb="FF2E7D32"/>
      <name val="Aptos Narrow"/>
    </font>
    <font>
      <b/>
      <i val="0"/>
      <sz val="20"/>
      <color rgb="FF626468"/>
      <name val="Aptos Narrow"/>
    </font>
    <font>
      <b val="0"/>
      <i val="0"/>
      <sz val="10"/>
      <color rgb="FFFFFFFF"/>
      <name val="Calibri"/>
    </font>
    <font>
      <b/>
      <i val="0"/>
      <sz val="10"/>
      <color theme="1"/>
      <name val="Aptos Narrow"/>
    </font>
    <font>
      <b val="0"/>
      <i val="0"/>
      <sz val="11"/>
      <color theme="1"/>
      <name val="Aptos Narrow"/>
    </font>
    <font>
      <b/>
      <i val="0"/>
      <sz val="11"/>
      <color theme="1"/>
      <name val="Aptos Narrow"/>
    </font>
    <font>
      <b val="0"/>
      <i/>
      <sz val="10"/>
      <color rgb="FF626468"/>
      <name val="Aptos Narrow"/>
    </font>
    <font>
      <b val="0"/>
      <i val="0"/>
      <sz val="11"/>
      <color rgb="FF0000FF"/>
      <name val="Aptos Narrow"/>
    </font>
    <font>
      <b/>
      <i val="0"/>
      <sz val="11"/>
      <color rgb="FF000000"/>
      <name val="Aptos Narrow"/>
    </font>
    <font>
      <b/>
      <i val="0"/>
      <sz val="14"/>
      <color rgb="FFFFFFFF"/>
      <name val="Calibri"/>
    </font>
    <font>
      <b/>
      <i val="0"/>
      <sz val="10"/>
      <color auto="1"/>
      <name val="Calibri"/>
    </font>
    <font>
      <b val="0"/>
      <i val="0"/>
      <sz val="10"/>
      <color auto="1"/>
      <name val="Calibri"/>
    </font>
    <font>
      <b/>
      <i val="0"/>
      <sz val="11"/>
      <color rgb="FF000000"/>
      <name val="Calibri"/>
    </font>
    <font>
      <b val="0"/>
      <i val="0"/>
      <sz val="11"/>
      <color rgb="FF008000"/>
      <name val="Calibri"/>
    </font>
    <font>
      <b val="0"/>
      <i val="0"/>
      <sz val="11"/>
      <color rgb="FF0000FF"/>
      <name val="Calibri"/>
    </font>
    <font>
      <b/>
      <i val="0"/>
      <sz val="9"/>
      <color rgb="FF626468"/>
      <name val="Calibri"/>
    </font>
    <font>
      <b/>
      <i val="0"/>
      <sz val="18"/>
      <color rgb="FF0000FF"/>
      <name val="Calibri"/>
    </font>
    <font>
      <b val="0"/>
      <i val="0"/>
      <sz val="10"/>
      <color rgb="FF0000FF"/>
      <name val="Calibri"/>
    </font>
    <font>
      <b/>
      <i val="0"/>
      <u/>
      <sz val="10"/>
      <color rgb="FF0563C1"/>
      <name val="Aptos Narrow"/>
    </font>
    <font>
      <b val="0"/>
      <i/>
      <sz val="10"/>
      <color rgb="FFC00000"/>
      <name val="Calibri"/>
    </font>
    <font>
      <b/>
      <i val="0"/>
      <sz val="16"/>
      <color rgb="FF0000FF"/>
      <name val="Calibri"/>
    </font>
    <font>
      <b val="0"/>
      <i/>
      <sz val="9"/>
      <color rgb="FF666666"/>
      <name val="Calibri"/>
    </font>
    <font>
      <b/>
      <i val="0"/>
      <sz val="9"/>
      <color rgb="FF0000FF"/>
      <name val="Calibri"/>
    </font>
    <font>
      <b val="0"/>
      <i val="0"/>
      <sz val="10"/>
      <color rgb="FF666666"/>
      <name val="Calibri"/>
    </font>
    <font>
      <b/>
      <i val="0"/>
      <sz val="10"/>
      <color rgb="FF1F4E79"/>
      <name val="Calibri"/>
    </font>
    <font>
      <b/>
      <i val="0"/>
      <sz val="9"/>
      <color rgb="FF2E7D32"/>
      <name val="Calibri"/>
    </font>
    <font>
      <b/>
      <i val="0"/>
      <sz val="9"/>
      <color rgb="FF666666"/>
      <name val="Aptos Narrow"/>
    </font>
    <font>
      <b/>
      <i/>
      <sz val="9"/>
      <color rgb="FF666666"/>
      <name val="Aptos Narrow"/>
    </font>
    <font>
      <b/>
      <i val="0"/>
      <sz val="9"/>
      <color rgb="FF1565C0"/>
      <name val="Aptos Narrow"/>
    </font>
    <font>
      <b/>
      <i val="0"/>
      <sz val="9"/>
      <color rgb="FF1F4E79"/>
      <name val="Calibri"/>
    </font>
    <font>
      <b val="0"/>
      <i val="0"/>
      <sz val="9"/>
      <color rgb="FFFFA500"/>
      <name val="Calibri"/>
    </font>
    <font>
      <b val="0"/>
      <i val="0"/>
      <sz val="9"/>
      <color rgb="FF8B0000"/>
      <name val="Calibri"/>
    </font>
    <font>
      <b/>
      <i val="0"/>
      <sz val="20"/>
      <color rgb="FF1F4E79"/>
      <name val="Aptos Narrow"/>
    </font>
    <font>
      <b/>
      <i val="0"/>
      <sz val="20"/>
      <color rgb="FFC00000"/>
      <name val="Aptos Narrow"/>
    </font>
    <font>
      <b/>
      <i val="0"/>
      <sz val="20"/>
      <color rgb="FFED7D31"/>
      <name val="Aptos Narrow"/>
    </font>
    <font>
      <b/>
      <i val="0"/>
      <sz val="20"/>
      <color rgb="FF7030A0"/>
      <name val="Aptos Narrow"/>
    </font>
    <font>
      <b/>
      <i val="0"/>
      <sz val="20"/>
      <color rgb="FF006400"/>
      <name val="Aptos Narrow"/>
    </font>
    <font>
      <b val="0"/>
      <i val="0"/>
      <sz val="10"/>
      <color auto="1"/>
      <name val="Aptos Narrow"/>
    </font>
    <font>
      <b/>
      <i val="0"/>
      <sz val="10"/>
      <color rgb="FFC00000"/>
      <name val="Aptos Narrow"/>
    </font>
    <font>
      <b/>
      <i val="0"/>
      <sz val="10"/>
      <color rgb="FFED7D31"/>
      <name val="Aptos Narrow"/>
    </font>
    <font>
      <b/>
      <i val="0"/>
      <sz val="9"/>
      <color rgb="FFC00000"/>
      <name val="Aptos Narrow"/>
    </font>
    <font>
      <b/>
      <i val="0"/>
      <sz val="9"/>
      <color rgb="FFED7D31"/>
      <name val="Aptos Narrow"/>
    </font>
    <font>
      <b/>
      <i val="0"/>
      <sz val="9"/>
      <color rgb="FF006400"/>
      <name val="Aptos Narrow"/>
    </font>
    <font>
      <b/>
      <i val="0"/>
      <u/>
      <sz val="10"/>
      <color rgb="FFFFFFFF"/>
      <name val="Aptos Narrow"/>
    </font>
    <font>
      <b/>
      <i val="0"/>
      <u/>
      <sz val="10"/>
      <color rgb="FF000000"/>
      <name val="Aptos Narrow"/>
    </font>
    <font>
      <b/>
      <i val="0"/>
      <sz val="18"/>
      <color rgb="FFED7D31"/>
      <name val="Aptos Narrow"/>
    </font>
    <font>
      <b/>
      <i val="0"/>
      <sz val="18"/>
      <color rgb="FFC00000"/>
      <name val="Aptos Narrow"/>
    </font>
    <font>
      <b/>
      <i val="0"/>
      <sz val="18"/>
      <color rgb="FF006400"/>
      <name val="Aptos Narrow"/>
    </font>
    <font>
      <b/>
      <i val="0"/>
      <sz val="18"/>
      <color rgb="FF7030A0"/>
      <name val="Aptos Narrow"/>
    </font>
    <font>
      <b/>
      <i val="0"/>
      <sz val="18"/>
      <color rgb="FF0070C0"/>
      <name val="Aptos Narrow"/>
    </font>
    <font>
      <b/>
      <i val="0"/>
      <sz val="9"/>
      <color rgb="FF7030A0"/>
      <name val="Aptos Narrow"/>
    </font>
    <font>
      <b/>
      <i val="0"/>
      <sz val="12"/>
      <color rgb="FF0000FF"/>
      <name val="Aptos Narrow"/>
    </font>
    <font>
      <b val="0"/>
      <i val="0"/>
      <color rgb="FF000000"/>
      <name val="Calibri"/>
      <scheme val="minor"/>
    </font>
    <font>
      <b/>
      <i val="0"/>
      <sz val="10"/>
      <color rgb="FF000000"/>
      <name val="Aptos Narrow"/>
    </font>
    <font>
      <b val="0"/>
      <i val="0"/>
      <color rgb="FF0000FF"/>
      <name val="Calibri"/>
      <scheme val="minor"/>
    </font>
    <font>
      <b/>
      <i val="0"/>
      <sz val="10"/>
      <color rgb="FF0000FF"/>
      <name val="Aptos Narrow"/>
    </font>
    <font>
      <b/>
      <i val="0"/>
      <sz val="9"/>
      <color rgb="FF0070C0"/>
      <name val="Aptos Narrow"/>
    </font>
    <font>
      <b val="0"/>
      <i val="0"/>
      <sz val="12"/>
      <color auto="1"/>
      <name val="Calibri"/>
      <scheme val="minor"/>
    </font>
    <font>
      <b val="0"/>
      <i val="0"/>
      <sz val="12"/>
      <color rgb="FF006400"/>
      <name val="Calibri"/>
      <scheme val="minor"/>
    </font>
    <font>
      <b val="0"/>
      <i val="0"/>
      <sz val="12"/>
      <color rgb="FFFF8C00"/>
      <name val="Calibri"/>
      <scheme val="minor"/>
    </font>
    <font>
      <b val="0"/>
      <i val="0"/>
      <sz val="12"/>
      <color rgb="FF0070C0"/>
      <name val="Calibri"/>
      <scheme val="minor"/>
    </font>
    <font>
      <b val="0"/>
      <i val="0"/>
      <sz val="12"/>
      <color rgb="FFC00000"/>
      <name val="Calibri"/>
      <scheme val="minor"/>
    </font>
    <font>
      <b val="0"/>
      <i val="0"/>
      <sz val="12"/>
      <color rgb="FF7030A0"/>
      <name val="Calibri"/>
      <scheme val="minor"/>
    </font>
    <font>
      <b val="0"/>
      <i val="0"/>
      <sz val="12"/>
      <color rgb="FF000000"/>
      <name val="Calibri"/>
      <scheme val="minor"/>
    </font>
    <font>
      <b val="0"/>
      <i val="0"/>
      <sz val="12"/>
      <color rgb="FF0000FF"/>
      <name val="Calibri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626468"/>
      </patternFill>
    </fill>
    <fill>
      <patternFill patternType="solid">
        <fgColor rgb="FFF8F9FA"/>
      </patternFill>
    </fill>
    <fill>
      <patternFill patternType="solid">
        <fgColor rgb="FF1565C0"/>
      </patternFill>
    </fill>
    <fill>
      <patternFill patternType="solid">
        <fgColor rgb="FFF2F2F2"/>
      </patternFill>
    </fill>
    <fill>
      <patternFill patternType="solid">
        <fgColor rgb="FFE8F5E9"/>
      </patternFill>
    </fill>
    <fill>
      <patternFill patternType="solid">
        <fgColor rgb="FF2E7D32"/>
      </patternFill>
    </fill>
    <fill>
      <patternFill patternType="solid">
        <fgColor rgb="FFE3F2FD"/>
      </patternFill>
    </fill>
    <fill>
      <patternFill patternType="solid">
        <fgColor rgb="FFC62828"/>
      </patternFill>
    </fill>
    <fill>
      <patternFill patternType="solid">
        <fgColor rgb="FFF57C00"/>
      </patternFill>
    </fill>
    <fill>
      <patternFill patternType="solid">
        <fgColor rgb="FFD9E1F2"/>
      </patternFill>
    </fill>
    <fill>
      <patternFill patternType="solid">
        <fgColor rgb="FF7B1FA2"/>
      </patternFill>
    </fill>
    <fill>
      <patternFill patternType="solid">
        <fgColor rgb="FF00695C"/>
      </patternFill>
    </fill>
    <fill>
      <patternFill patternType="solid">
        <fgColor rgb="FF424242"/>
      </patternFill>
    </fill>
    <fill>
      <patternFill patternType="solid">
        <fgColor rgb="FFFFF3E0"/>
      </patternFill>
    </fill>
    <fill>
      <patternFill patternType="solid">
        <fgColor rgb="FFFFEBEE"/>
      </patternFill>
    </fill>
    <fill>
      <patternFill patternType="solid">
        <fgColor rgb="FFD9E2F3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DEDED"/>
      </patternFill>
    </fill>
    <fill>
      <patternFill patternType="solid">
        <fgColor rgb="FFE2D5F1"/>
      </patternFill>
    </fill>
    <fill>
      <patternFill patternType="solid">
        <fgColor rgb="FFD9D9D9"/>
      </patternFill>
    </fill>
    <fill>
      <patternFill patternType="solid">
        <fgColor rgb="FFC6EFCE"/>
      </patternFill>
    </fill>
    <fill>
      <patternFill patternType="solid">
        <fgColor rgb="FFFF6B6B"/>
      </patternFill>
    </fill>
    <fill>
      <patternFill patternType="solid">
        <fgColor rgb="FFFFE6E6"/>
      </patternFill>
    </fill>
    <fill>
      <patternFill patternType="solid">
        <fgColor rgb="FFFF6F00"/>
      </patternFill>
    </fill>
    <fill>
      <patternFill patternType="solid">
        <fgColor rgb="FF6A1B9A"/>
      </patternFill>
    </fill>
    <fill>
      <patternFill patternType="solid">
        <fgColor rgb="FFF3E5F5"/>
      </patternFill>
    </fill>
    <fill>
      <patternFill patternType="solid">
        <fgColor rgb="FFF5F5F5"/>
      </patternFill>
    </fill>
    <fill>
      <patternFill patternType="solid">
        <fgColor rgb="FFFAFAFA"/>
      </patternFill>
    </fill>
    <fill>
      <patternFill patternType="solid">
        <fgColor rgb="FFFFFFFF"/>
      </patternFill>
    </fill>
    <fill>
      <patternFill patternType="solid">
        <fgColor rgb="FFE0E0E0"/>
      </patternFill>
    </fill>
    <fill>
      <patternFill patternType="solid">
        <fgColor rgb="FFC00000"/>
      </patternFill>
    </fill>
    <fill>
      <patternFill patternType="solid">
        <fgColor rgb="FFFFC000"/>
      </patternFill>
    </fill>
    <fill>
      <patternFill patternType="solid">
        <fgColor rgb="FFFBE5D6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375623"/>
      </patternFill>
    </fill>
    <fill>
      <patternFill patternType="solid">
        <fgColor rgb="FFFFC7CE"/>
      </patternFill>
    </fill>
    <fill>
      <patternFill patternType="solid">
        <fgColor rgb="FF404040"/>
      </patternFill>
    </fill>
    <fill>
      <patternFill patternType="solid">
        <fgColor rgb="FF0070C0"/>
      </patternFill>
    </fill>
    <fill>
      <patternFill patternType="solid">
        <fgColor rgb="FF70AD47"/>
      </patternFill>
    </fill>
    <fill>
      <patternFill patternType="solid">
        <fgColor rgb="FFFFFF00"/>
      </patternFill>
    </fill>
    <fill>
      <patternFill patternType="solid">
        <fgColor rgb="FF006400"/>
      </patternFill>
    </fill>
    <fill>
      <patternFill patternType="solid">
        <fgColor rgb="FFD6DCE4"/>
      </patternFill>
    </fill>
  </fills>
  <borders count="84">
    <border>
      <left/>
      <right/>
      <top/>
      <bottom/>
    </border>
    <border>
      <left/>
      <right/>
      <top/>
      <bottom/>
      <diagonal/>
    </border>
    <border>
      <left style="medium">
        <color rgb="FF1F4E79"/>
      </left>
      <right style="medium">
        <color rgb="FF1F4E79"/>
      </right>
      <top style="medium">
        <color rgb="FF1F4E79"/>
      </top>
    </border>
    <border>
      <left style="medium">
        <color rgb="FF1F4E79"/>
      </left>
      <right style="medium">
        <color rgb="FF1F4E79"/>
      </right>
    </border>
    <border>
      <left style="medium">
        <color rgb="FF1F4E79"/>
      </left>
      <right style="medium">
        <color rgb="FF1F4E79"/>
      </right>
      <bottom style="medium">
        <color rgb="FF1F4E79"/>
      </bottom>
    </border>
    <border>
      <left style="medium">
        <color rgb="FF1F4E79"/>
      </left>
      <right style="medium">
        <color rgb="FF1F4E79"/>
      </right>
      <bottom style="thin">
        <color rgb="FF9E9E9E"/>
      </bottom>
    </border>
    <border>
      <left style="medium">
        <color rgb="FF1F4E79"/>
      </left>
      <right style="medium">
        <color rgb="FF1F4E79"/>
      </right>
      <bottom style="thin">
        <color rgb="FFE0E0E0"/>
      </bottom>
    </border>
    <border>
      <left style="medium">
        <color rgb="FF1F4E79"/>
      </left>
      <right style="medium">
        <color rgb="FF1F4E79"/>
      </right>
      <bottom style="thin">
        <color rgb="FFF0F0F0"/>
      </bottom>
    </border>
    <border>
      <left style="medium">
        <color rgb="FF1F4E79"/>
      </left>
      <right style="medium">
        <color rgb="FF1F4E79"/>
      </right>
      <top style="thin">
        <color rgb="FF1F4E79"/>
      </top>
      <bottom style="thin">
        <color rgb="FF1F4E79"/>
      </bottom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</border>
    <border>
      <left style="medium">
        <color rgb="FF1F4E79"/>
      </left>
      <right style="medium">
        <color rgb="FF1F4E79"/>
      </right>
      <top style="medium">
        <color rgb="FF1F4E79"/>
      </top>
      <bottom style="thin">
        <color rgb="FF1F4E79"/>
      </bottom>
    </border>
    <border>
      <left style="medium">
        <color rgb="FFC62828"/>
      </left>
      <right style="medium">
        <color rgb="FFC62828"/>
      </right>
      <bottom style="medium">
        <color rgb="FFC62828"/>
      </bottom>
    </border>
    <border>
      <left style="medium">
        <color rgb="FF1F4E79"/>
      </left>
      <right style="medium">
        <color rgb="FF1F4E79"/>
      </right>
      <bottom style="medium">
        <color rgb="FF0D3C61"/>
      </bottom>
    </border>
    <border>
      <left style="medium">
        <color rgb="FF1F4E79"/>
      </left>
      <right style="medium">
        <color rgb="FF1F4E79"/>
      </right>
      <top style="thin">
        <color rgb="FF2E7D32"/>
      </top>
    </border>
    <border>
      <left style="medium">
        <color rgb="FF1F4E79"/>
      </left>
      <right style="medium">
        <color rgb="FF1F4E79"/>
      </right>
      <top style="thin">
        <color rgb="FFC62828"/>
      </top>
    </border>
    <border>
      <left style="medium">
        <color rgb="FF1F4E79"/>
      </left>
      <right style="medium">
        <color rgb="FF1F4E79"/>
      </right>
      <top style="thin">
        <color rgb="FF1565C0"/>
      </top>
    </border>
    <border>
      <left/>
      <right/>
      <top/>
      <bottom/>
    </border>
    <border>
      <bottom style="hair">
        <color rgb="FFCCCCCC"/>
      </bottom>
    </border>
    <border>
      <bottom style="medium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bottom style="thin">
        <color rgb="FF9E9E9E"/>
      </bottom>
    </border>
    <border>
      <bottom style="thin">
        <color rgb="FFE0E0E0"/>
      </bottom>
    </border>
    <border>
      <bottom style="thin">
        <color rgb="FFFF6B6B"/>
      </bottom>
    </border>
    <border>
      <bottom style="thin">
        <color rgb="FF2E7D32"/>
      </bottom>
    </border>
    <border>
      <bottom style="thin">
        <color rgb="FF1565C0"/>
      </bottom>
    </border>
    <border>
      <bottom style="thin">
        <color rgb="FFFF6F00"/>
      </bottom>
    </border>
    <border>
      <bottom style="thin">
        <color rgb="FF6A1B9A"/>
      </bottom>
    </border>
    <border>
      <bottom style="thin">
        <color rgb="FF424242"/>
      </bottom>
    </border>
    <border>
      <bottom style="thin">
        <color rgb="FFC62828"/>
      </bottom>
    </border>
    <border>
      <left/>
      <right/>
      <top/>
      <bottom style="medium">
        <color rgb="FF626468"/>
      </bottom>
      <diagonal/>
    </border>
    <border>
      <left/>
      <right/>
      <top/>
      <bottom style="thin">
        <color rgb="FF1F4E79"/>
      </bottom>
      <diagonal/>
    </border>
    <border>
      <left/>
      <right/>
      <top/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626468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626468"/>
      </top>
      <bottom style="thin">
        <color rgb="FF626468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/>
      <diagonal/>
    </border>
    <border>
      <left style="thin">
        <color rgb="FFE0E0E0"/>
      </left>
      <right style="thin">
        <color rgb="FFE0E0E0"/>
      </right>
      <top style="thin">
        <color rgb="FF626468"/>
      </top>
      <bottom style="medium">
        <color rgb="FF626468"/>
      </bottom>
      <diagonal/>
    </border>
    <border>
      <left/>
      <right/>
      <top style="thin">
        <color rgb="FF626468"/>
      </top>
      <bottom style="thin">
        <color rgb="FFE0E0E0"/>
      </bottom>
      <diagonal/>
    </border>
    <border>
      <left/>
      <right/>
      <top style="thin">
        <color rgb="FF626468"/>
      </top>
      <bottom style="thin">
        <color rgb="FF626468"/>
      </bottom>
      <diagonal/>
    </border>
    <border>
      <left/>
      <right/>
      <top style="thin">
        <color rgb="FF626468"/>
      </top>
      <bottom/>
      <diagonal/>
    </border>
    <border>
      <top style="thin">
        <color rgb="FF626468"/>
      </top>
    </border>
    <border>
      <bottom style="thin">
        <color rgb="FF1F4E79"/>
      </bottom>
    </border>
    <border>
      <top style="thin">
        <color rgb="FF1F4E79"/>
      </top>
      <bottom style="thin">
        <color rgb="FFE0E0E0"/>
      </bottom>
    </border>
    <border>
      <top style="thin">
        <color rgb="FF1F4E79"/>
      </top>
      <bottom style="thin">
        <color rgb="FF1F4E79"/>
      </bottom>
    </border>
    <border>
      <top style="thin">
        <color rgb="FF1F4E79"/>
      </top>
    </border>
    <border>
      <top style="medium">
        <color rgb="FF1F4E79"/>
      </top>
      <bottom style="thin">
        <color rgb="FFE0E0E0"/>
      </bottom>
    </border>
    <border>
      <top style="medium">
        <color rgb="FF1F4E79"/>
      </top>
      <bottom style="medium">
        <color rgb="FF1F4E79"/>
      </bottom>
    </border>
    <border>
      <top style="medium">
        <color rgb="FF1F4E79"/>
      </top>
    </border>
    <border>
      <bottom style="hair">
        <color rgb="FFE0E0E0"/>
      </bottom>
    </border>
    <border>
      <left style="medium">
        <color rgb="FF1F4E79"/>
      </left>
      <right style="medium">
        <color rgb="FF1F4E79"/>
      </right>
      <top style="medium">
        <color rgb="FF1F4E79"/>
      </top>
      <bottom/>
      <diagonal/>
    </border>
    <border>
      <left style="medium">
        <color rgb="FF1F4E79"/>
      </left>
      <right style="medium">
        <color rgb="FF1F4E79"/>
      </right>
      <top/>
      <bottom/>
      <diagonal/>
    </border>
    <border>
      <left style="medium">
        <color rgb="FF1F4E79"/>
      </left>
      <right style="medium">
        <color rgb="FF1F4E79"/>
      </right>
      <top/>
      <bottom style="medium">
        <color rgb="FF1F4E79"/>
      </bottom>
      <diagonal/>
    </border>
    <border>
      <left style="medium">
        <color rgb="FF1F4E79"/>
      </left>
      <right style="medium">
        <color rgb="FF1F4E79"/>
      </right>
      <top/>
      <bottom style="thin">
        <color rgb="FF9E9E9E"/>
      </bottom>
      <diagonal/>
    </border>
    <border>
      <left style="medium">
        <color rgb="FF1F4E79"/>
      </left>
      <right style="medium">
        <color rgb="FF1F4E79"/>
      </right>
      <top/>
      <bottom style="thin">
        <color rgb="FFE0E0E0"/>
      </bottom>
      <diagonal/>
    </border>
    <border>
      <left style="medium">
        <color rgb="FF1F4E79"/>
      </left>
      <right style="medium">
        <color rgb="FF1F4E79"/>
      </right>
      <top/>
      <bottom style="thin">
        <color rgb="FFF0F0F0"/>
      </bottom>
      <diagonal/>
    </border>
    <border>
      <left style="medium">
        <color rgb="FF1F4E79"/>
      </left>
      <right style="medium">
        <color rgb="FF1F4E79"/>
      </right>
      <top style="thin">
        <color rgb="FF1F4E79"/>
      </top>
      <bottom style="thin">
        <color rgb="FF1F4E79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thin">
        <color rgb="FF1F4E79"/>
      </bottom>
      <diagonal/>
    </border>
    <border>
      <left style="medium">
        <color rgb="FFC62828"/>
      </left>
      <right style="medium">
        <color rgb="FFC62828"/>
      </right>
      <top/>
      <bottom style="medium">
        <color rgb="FFC62828"/>
      </bottom>
      <diagonal/>
    </border>
    <border>
      <left style="medium">
        <color rgb="FF1F4E79"/>
      </left>
      <right style="medium">
        <color rgb="FF1F4E79"/>
      </right>
      <top/>
      <bottom style="medium">
        <color rgb="FF0D3C61"/>
      </bottom>
      <diagonal/>
    </border>
    <border>
      <left style="medium">
        <color rgb="FF1F4E79"/>
      </left>
      <right style="medium">
        <color rgb="FF1F4E79"/>
      </right>
      <top style="thin">
        <color rgb="FF2E7D32"/>
      </top>
      <bottom/>
      <diagonal/>
    </border>
    <border>
      <left style="medium">
        <color rgb="FF1F4E79"/>
      </left>
      <right style="medium">
        <color rgb="FF1F4E79"/>
      </right>
      <top style="thin">
        <color rgb="FFC62828"/>
      </top>
      <bottom/>
      <diagonal/>
    </border>
    <border>
      <left style="medium">
        <color rgb="FF1F4E79"/>
      </left>
      <right style="medium">
        <color rgb="FF1F4E79"/>
      </right>
      <top style="thin">
        <color rgb="FF1565C0"/>
      </top>
      <bottom/>
      <diagonal/>
    </border>
    <border>
      <left/>
      <right/>
      <top/>
      <bottom style="hair">
        <color rgb="FFCCCCCC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9E9E9E"/>
      </bottom>
      <diagonal/>
    </border>
    <border>
      <left/>
      <right/>
      <top/>
      <bottom style="thin">
        <color rgb="FFFF6B6B"/>
      </bottom>
      <diagonal/>
    </border>
    <border>
      <left/>
      <right/>
      <top/>
      <bottom style="thin">
        <color rgb="FF2E7D32"/>
      </bottom>
      <diagonal/>
    </border>
    <border>
      <left/>
      <right/>
      <top/>
      <bottom style="thin">
        <color rgb="FF1565C0"/>
      </bottom>
      <diagonal/>
    </border>
    <border>
      <left/>
      <right/>
      <top/>
      <bottom style="thin">
        <color rgb="FFFF6F00"/>
      </bottom>
      <diagonal/>
    </border>
    <border>
      <left/>
      <right/>
      <top/>
      <bottom style="thin">
        <color rgb="FF6A1B9A"/>
      </bottom>
      <diagonal/>
    </border>
    <border>
      <left/>
      <right/>
      <top/>
      <bottom style="thin">
        <color rgb="FF424242"/>
      </bottom>
      <diagonal/>
    </border>
    <border>
      <left/>
      <right/>
      <top/>
      <bottom style="thin">
        <color rgb="FFC62828"/>
      </bottom>
      <diagonal/>
    </border>
    <border>
      <left/>
      <right/>
      <top style="thin">
        <color rgb="FF1F4E79"/>
      </top>
      <bottom style="thin">
        <color rgb="FFE0E0E0"/>
      </bottom>
      <diagonal/>
    </border>
    <border>
      <left/>
      <right/>
      <top style="thin">
        <color rgb="FF1F4E79"/>
      </top>
      <bottom style="thin">
        <color rgb="FF1F4E79"/>
      </bottom>
      <diagonal/>
    </border>
    <border>
      <left/>
      <right/>
      <top style="thin">
        <color rgb="FF1F4E79"/>
      </top>
      <bottom/>
      <diagonal/>
    </border>
    <border>
      <left/>
      <right/>
      <top style="medium">
        <color rgb="FF1F4E79"/>
      </top>
      <bottom style="thin">
        <color rgb="FFE0E0E0"/>
      </bottom>
      <diagonal/>
    </border>
    <border>
      <left/>
      <right/>
      <top style="medium">
        <color rgb="FF1F4E79"/>
      </top>
      <bottom style="medium">
        <color rgb="FF1F4E79"/>
      </bottom>
      <diagonal/>
    </border>
    <border>
      <left/>
      <right/>
      <top style="medium">
        <color rgb="FF1F4E79"/>
      </top>
      <bottom/>
      <diagonal/>
    </border>
    <border>
      <left/>
      <right/>
      <top/>
      <bottom style="hair">
        <color rgb="FFE0E0E0"/>
      </bottom>
      <diagonal/>
    </border>
  </borders>
  <cellStyleXfs count="1">
    <xf numFmtId="0" fontId="0" fillId="0" borderId="1"/>
  </cellStyleXfs>
  <cellXfs count="620">
    <xf numFmtId="0" fontId="0" fillId="0" borderId="1" xfId="0"/>
    <xf numFmtId="0" fontId="2" fillId="0" borderId="51" xfId="0">
      <alignment horizontal="center" vertical="center"/>
    </xf>
    <xf numFmtId="0" fontId="150" fillId="0" borderId="51" xfId="0">
      <alignment vertical="top"/>
    </xf>
    <xf numFmtId="0" fontId="150" fillId="0" borderId="52" xfId="0">
      <alignment vertical="top"/>
    </xf>
    <xf numFmtId="0" fontId="4" fillId="2" borderId="52" xfId="0">
      <alignment horizontal="center" vertical="top"/>
    </xf>
    <xf numFmtId="0" fontId="5" fillId="0" borderId="52" xfId="0">
      <alignment horizontal="center" vertical="top"/>
    </xf>
    <xf numFmtId="0" fontId="6" fillId="0" borderId="52" xfId="0">
      <alignment horizontal="center" vertical="top"/>
    </xf>
    <xf numFmtId="0" fontId="7" fillId="0" borderId="52" xfId="0">
      <alignment horizontal="center" vertical="top"/>
    </xf>
    <xf numFmtId="0" fontId="150" fillId="0" borderId="53" xfId="0">
      <alignment vertical="top"/>
    </xf>
    <xf numFmtId="0" fontId="8" fillId="3" borderId="52" xfId="0">
      <alignment vertical="top"/>
    </xf>
    <xf numFmtId="0" fontId="150" fillId="4" borderId="52" xfId="0">
      <alignment vertical="top"/>
    </xf>
    <xf numFmtId="0" fontId="9" fillId="4" borderId="52" xfId="0">
      <alignment horizontal="center" vertical="top"/>
    </xf>
    <xf numFmtId="37858" fontId="10" fillId="4" borderId="52" xfId="0">
      <alignment horizontal="center" vertical="top"/>
    </xf>
    <xf numFmtId="37859" fontId="11" fillId="4" borderId="52" xfId="0">
      <alignment horizontal="center" vertical="top"/>
    </xf>
    <xf numFmtId="37860" fontId="10" fillId="4" borderId="52" xfId="0">
      <alignment horizontal="center" vertical="top"/>
    </xf>
    <xf numFmtId="37861" fontId="12" fillId="4" borderId="52" xfId="0">
      <alignment horizontal="center" vertical="top"/>
    </xf>
    <xf numFmtId="0" fontId="12" fillId="4" borderId="52" xfId="0">
      <alignment horizontal="center" vertical="top"/>
    </xf>
    <xf numFmtId="0" fontId="13" fillId="4" borderId="52" xfId="0">
      <alignment horizontal="center" vertical="top"/>
    </xf>
    <xf numFmtId="0" fontId="14" fillId="2" borderId="52" xfId="0">
      <alignment vertical="top"/>
    </xf>
    <xf numFmtId="0" fontId="14" fillId="5" borderId="52" xfId="0">
      <alignment vertical="top"/>
    </xf>
    <xf numFmtId="0" fontId="15" fillId="6" borderId="54" xfId="0">
      <alignment vertical="top"/>
    </xf>
    <xf numFmtId="0" fontId="16" fillId="0" borderId="55" xfId="0">
      <alignment vertical="top"/>
    </xf>
    <xf numFmtId="0" fontId="17" fillId="6" borderId="52" xfId="0">
      <alignment horizontal="center" vertical="top"/>
    </xf>
    <xf numFmtId="0" fontId="15" fillId="6" borderId="52" xfId="0">
      <alignment vertical="top"/>
    </xf>
    <xf numFmtId="0" fontId="16" fillId="0" borderId="56" xfId="0">
      <alignment vertical="top"/>
    </xf>
    <xf numFmtId="37862" fontId="16" fillId="0" borderId="56" xfId="0">
      <alignment vertical="top"/>
    </xf>
    <xf numFmtId="37859" fontId="16" fillId="0" borderId="56" xfId="0">
      <alignment vertical="top"/>
    </xf>
    <xf numFmtId="3" fontId="16" fillId="0" borderId="56" xfId="0">
      <alignment vertical="top"/>
    </xf>
    <xf numFmtId="37858" fontId="16" fillId="0" borderId="56" xfId="0">
      <alignment vertical="top"/>
    </xf>
    <xf numFmtId="0" fontId="18" fillId="0" borderId="52" xfId="0">
      <alignment vertical="top"/>
    </xf>
    <xf numFmtId="0" fontId="15" fillId="6" borderId="54" xfId="0">
      <alignment horizontal="center" vertical="top"/>
    </xf>
    <xf numFmtId="37858" fontId="16" fillId="0" borderId="55" xfId="0">
      <alignment horizontal="center" vertical="top"/>
    </xf>
    <xf numFmtId="37866" fontId="16" fillId="0" borderId="55" xfId="0">
      <alignment horizontal="center" vertical="top"/>
    </xf>
    <xf numFmtId="37861" fontId="16" fillId="0" borderId="55" xfId="0">
      <alignment horizontal="center" vertical="top"/>
    </xf>
    <xf numFmtId="0" fontId="19" fillId="0" borderId="55" xfId="0">
      <alignment horizontal="center" vertical="top"/>
    </xf>
    <xf numFmtId="37859" fontId="16" fillId="0" borderId="55" xfId="0">
      <alignment horizontal="center" vertical="top"/>
    </xf>
    <xf numFmtId="0" fontId="20" fillId="0" borderId="55" xfId="0">
      <alignment horizontal="center" vertical="top"/>
    </xf>
    <xf numFmtId="0" fontId="21" fillId="0" borderId="55" xfId="0">
      <alignment horizontal="center" vertical="top"/>
    </xf>
    <xf numFmtId="37869" fontId="16" fillId="0" borderId="55" xfId="0">
      <alignment horizontal="center" vertical="top"/>
    </xf>
    <xf numFmtId="37870" fontId="16" fillId="0" borderId="55" xfId="0">
      <alignment horizontal="center" vertical="top"/>
    </xf>
    <xf numFmtId="37871" fontId="16" fillId="0" borderId="55" xfId="0">
      <alignment horizontal="center" vertical="top"/>
    </xf>
    <xf numFmtId="37860" fontId="16" fillId="0" borderId="55" xfId="0">
      <alignment horizontal="center" vertical="top"/>
    </xf>
    <xf numFmtId="0" fontId="150" fillId="7" borderId="52" xfId="0">
      <alignment vertical="top"/>
    </xf>
    <xf numFmtId="0" fontId="14" fillId="8" borderId="52" xfId="0">
      <alignment vertical="top"/>
    </xf>
    <xf numFmtId="0" fontId="15" fillId="0" borderId="55" xfId="0">
      <alignment vertical="top"/>
    </xf>
    <xf numFmtId="0" fontId="22" fillId="0" borderId="55" xfId="0">
      <alignment horizontal="center" vertical="top"/>
    </xf>
    <xf numFmtId="0" fontId="23" fillId="9" borderId="57" xfId="0">
      <alignment vertical="top"/>
    </xf>
    <xf numFmtId="0" fontId="150" fillId="9" borderId="57" xfId="0">
      <alignment vertical="top"/>
    </xf>
    <xf numFmtId="0" fontId="20" fillId="9" borderId="57" xfId="0">
      <alignment vertical="top"/>
    </xf>
    <xf numFmtId="0" fontId="24" fillId="9" borderId="57" xfId="0">
      <alignment vertical="top"/>
    </xf>
    <xf numFmtId="0" fontId="14" fillId="10" borderId="52" xfId="0">
      <alignment vertical="top"/>
    </xf>
    <xf numFmtId="0" fontId="14" fillId="11" borderId="52" xfId="0">
      <alignment vertical="top"/>
    </xf>
    <xf numFmtId="0" fontId="21" fillId="0" borderId="55" xfId="0">
      <alignment vertical="top"/>
    </xf>
    <xf numFmtId="0" fontId="25" fillId="0" borderId="55" xfId="0">
      <alignment vertical="top"/>
    </xf>
    <xf numFmtId="0" fontId="26" fillId="0" borderId="52" xfId="0">
      <alignment horizontal="center" vertical="top"/>
    </xf>
    <xf numFmtId="0" fontId="27" fillId="0" borderId="53" xfId="0">
      <alignment vertical="top"/>
    </xf>
    <xf numFmtId="0" fontId="27" fillId="0" borderId="53" xfId="0">
      <alignment horizontal="right" vertical="top"/>
    </xf>
    <xf numFmtId="0" fontId="28" fillId="2" borderId="58" xfId="0">
      <alignment horizontal="center" vertical="center"/>
    </xf>
    <xf numFmtId="0" fontId="150" fillId="0" borderId="58" xfId="0">
      <alignment vertical="top"/>
    </xf>
    <xf numFmtId="0" fontId="29" fillId="12" borderId="58" xfId="0">
      <alignment horizontal="center" vertical="top"/>
    </xf>
    <xf numFmtId="0" fontId="30" fillId="8" borderId="58" xfId="0">
      <alignment horizontal="center" vertical="top"/>
    </xf>
    <xf numFmtId="0" fontId="150" fillId="4" borderId="58" xfId="0">
      <alignment vertical="top"/>
    </xf>
    <xf numFmtId="0" fontId="9" fillId="4" borderId="58" xfId="0">
      <alignment horizontal="center" vertical="top"/>
    </xf>
    <xf numFmtId="37858" fontId="31" fillId="4" borderId="58" xfId="0">
      <alignment horizontal="center" vertical="top"/>
    </xf>
    <xf numFmtId="37860" fontId="31" fillId="4" borderId="58" xfId="0">
      <alignment horizontal="center" vertical="top"/>
    </xf>
    <xf numFmtId="0" fontId="150" fillId="4" borderId="59" xfId="0">
      <alignment vertical="top"/>
    </xf>
    <xf numFmtId="0" fontId="30" fillId="5" borderId="58" xfId="0">
      <alignment horizontal="center" vertical="top"/>
    </xf>
    <xf numFmtId="37859" fontId="32" fillId="4" borderId="58" xfId="0">
      <alignment horizontal="center" vertical="top"/>
    </xf>
    <xf numFmtId="37869" fontId="32" fillId="4" borderId="58" xfId="0">
      <alignment horizontal="center" vertical="top"/>
    </xf>
    <xf numFmtId="37871" fontId="32" fillId="4" borderId="58" xfId="0">
      <alignment horizontal="center" vertical="top"/>
    </xf>
    <xf numFmtId="3" fontId="32" fillId="4" borderId="58" xfId="0">
      <alignment horizontal="center" vertical="top"/>
    </xf>
    <xf numFmtId="0" fontId="30" fillId="13" borderId="58" xfId="0">
      <alignment horizontal="center" vertical="top"/>
    </xf>
    <xf numFmtId="37858" fontId="33" fillId="4" borderId="58" xfId="0">
      <alignment horizontal="center" vertical="top"/>
    </xf>
    <xf numFmtId="3" fontId="33" fillId="4" borderId="58" xfId="0">
      <alignment horizontal="center" vertical="top"/>
    </xf>
    <xf numFmtId="37869" fontId="33" fillId="4" borderId="58" xfId="0">
      <alignment horizontal="center" vertical="top"/>
    </xf>
    <xf numFmtId="37880" fontId="33" fillId="4" borderId="58" xfId="0">
      <alignment horizontal="center" vertical="top"/>
    </xf>
    <xf numFmtId="0" fontId="30" fillId="11" borderId="58" xfId="0">
      <alignment horizontal="center" vertical="top"/>
    </xf>
    <xf numFmtId="37858" fontId="34" fillId="4" borderId="58" xfId="0">
      <alignment horizontal="center" vertical="top"/>
    </xf>
    <xf numFmtId="3" fontId="34" fillId="4" borderId="58" xfId="0">
      <alignment horizontal="center" vertical="top"/>
    </xf>
    <xf numFmtId="0" fontId="30" fillId="10" borderId="58" xfId="0">
      <alignment horizontal="center" vertical="top"/>
    </xf>
    <xf numFmtId="0" fontId="30" fillId="14" borderId="58" xfId="0">
      <alignment horizontal="center" vertical="top"/>
    </xf>
    <xf numFmtId="37861" fontId="35" fillId="4" borderId="58" xfId="0">
      <alignment horizontal="center" vertical="top"/>
    </xf>
    <xf numFmtId="37859" fontId="35" fillId="4" borderId="58" xfId="0">
      <alignment horizontal="center" vertical="top"/>
    </xf>
    <xf numFmtId="37870" fontId="35" fillId="4" borderId="58" xfId="0">
      <alignment horizontal="center" vertical="top"/>
    </xf>
    <xf numFmtId="37871" fontId="36" fillId="4" borderId="58" xfId="0">
      <alignment horizontal="center" vertical="top"/>
    </xf>
    <xf numFmtId="37859" fontId="36" fillId="4" borderId="58" xfId="0">
      <alignment horizontal="center" vertical="top"/>
    </xf>
    <xf numFmtId="3" fontId="36" fillId="4" borderId="58" xfId="0">
      <alignment horizontal="center" vertical="top"/>
    </xf>
    <xf numFmtId="0" fontId="14" fillId="15" borderId="58" xfId="0">
      <alignment horizontal="center" vertical="top"/>
    </xf>
    <xf numFmtId="0" fontId="27" fillId="0" borderId="58" xfId="0">
      <alignment vertical="top"/>
    </xf>
    <xf numFmtId="0" fontId="27" fillId="0" borderId="58" xfId="0">
      <alignment horizontal="right" vertical="top"/>
    </xf>
    <xf numFmtId="0" fontId="14" fillId="10" borderId="60" xfId="0">
      <alignment horizontal="center" vertical="top"/>
    </xf>
    <xf numFmtId="0" fontId="150" fillId="0" borderId="60" xfId="0">
      <alignment vertical="top"/>
    </xf>
    <xf numFmtId="0" fontId="150" fillId="16" borderId="60" xfId="0">
      <alignment vertical="top"/>
    </xf>
    <xf numFmtId="0" fontId="23" fillId="16" borderId="60" xfId="0">
      <alignment vertical="top"/>
    </xf>
    <xf numFmtId="0" fontId="37" fillId="16" borderId="60" xfId="0">
      <alignment vertical="top"/>
    </xf>
    <xf numFmtId="37859" fontId="38" fillId="16" borderId="60" xfId="0">
      <alignment vertical="top"/>
    </xf>
    <xf numFmtId="0" fontId="39" fillId="16" borderId="60" xfId="0">
      <alignment vertical="top"/>
    </xf>
    <xf numFmtId="0" fontId="40" fillId="16" borderId="60" xfId="0">
      <alignment vertical="top"/>
    </xf>
    <xf numFmtId="0" fontId="38" fillId="16" borderId="60" xfId="0">
      <alignment vertical="top"/>
    </xf>
    <xf numFmtId="0" fontId="28" fillId="2" borderId="51" xfId="0">
      <alignment horizontal="center" vertical="top"/>
    </xf>
    <xf numFmtId="0" fontId="29" fillId="12" borderId="52" xfId="0">
      <alignment horizontal="center" vertical="top"/>
    </xf>
    <xf numFmtId="0" fontId="41" fillId="2" borderId="61" xfId="0">
      <alignment vertical="top"/>
    </xf>
    <xf numFmtId="0" fontId="41" fillId="2" borderId="61" xfId="0">
      <alignment horizontal="center" vertical="top"/>
    </xf>
    <xf numFmtId="0" fontId="42" fillId="0" borderId="55" xfId="0">
      <alignment vertical="top"/>
    </xf>
    <xf numFmtId="3" fontId="16" fillId="0" borderId="55" xfId="0">
      <alignment horizontal="center" vertical="top"/>
    </xf>
    <xf numFmtId="37888" fontId="16" fillId="0" borderId="55" xfId="0">
      <alignment horizontal="center" vertical="top"/>
    </xf>
    <xf numFmtId="0" fontId="16" fillId="0" borderId="55" xfId="0">
      <alignment horizontal="center" vertical="top"/>
    </xf>
    <xf numFmtId="0" fontId="43" fillId="0" borderId="55" xfId="0">
      <alignment horizontal="center" vertical="top"/>
    </xf>
    <xf numFmtId="37889" fontId="16" fillId="0" borderId="55" xfId="0">
      <alignment horizontal="center" vertical="top"/>
    </xf>
    <xf numFmtId="0" fontId="25" fillId="0" borderId="55" xfId="0">
      <alignment horizontal="center" vertical="top"/>
    </xf>
    <xf numFmtId="37890" fontId="16" fillId="0" borderId="55" xfId="0">
      <alignment horizontal="center" vertical="top"/>
    </xf>
    <xf numFmtId="0" fontId="14" fillId="13" borderId="52" xfId="0">
      <alignment vertical="top"/>
    </xf>
    <xf numFmtId="37880" fontId="16" fillId="0" borderId="55" xfId="0">
      <alignment horizontal="center" vertical="top"/>
    </xf>
    <xf numFmtId="0" fontId="14" fillId="14" borderId="52" xfId="0">
      <alignment vertical="top"/>
    </xf>
    <xf numFmtId="0" fontId="8" fillId="2" borderId="52" xfId="0">
      <alignment vertical="top"/>
    </xf>
    <xf numFmtId="0" fontId="23" fillId="4" borderId="52" xfId="0">
      <alignment vertical="top"/>
    </xf>
    <xf numFmtId="0" fontId="44" fillId="4" borderId="52" xfId="0">
      <alignment vertical="top"/>
    </xf>
    <xf numFmtId="0" fontId="45" fillId="4" borderId="52" xfId="0">
      <alignment vertical="top"/>
    </xf>
    <xf numFmtId="0" fontId="46" fillId="4" borderId="52" xfId="0">
      <alignment vertical="top"/>
    </xf>
    <xf numFmtId="0" fontId="47" fillId="4" borderId="52" xfId="0">
      <alignment vertical="top"/>
    </xf>
    <xf numFmtId="0" fontId="48" fillId="0" borderId="52" xfId="0">
      <alignment vertical="top"/>
    </xf>
    <xf numFmtId="0" fontId="49" fillId="7" borderId="52" xfId="0">
      <alignment horizontal="center" vertical="top"/>
    </xf>
    <xf numFmtId="0" fontId="14" fillId="15" borderId="52" xfId="0">
      <alignment vertical="top"/>
    </xf>
    <xf numFmtId="0" fontId="50" fillId="0" borderId="52" xfId="0">
      <alignment horizontal="left" vertical="top" indent="1"/>
    </xf>
    <xf numFmtId="0" fontId="51" fillId="2" borderId="51" xfId="0">
      <alignment horizontal="center" vertical="top"/>
    </xf>
    <xf numFmtId="0" fontId="52" fillId="12" borderId="52" xfId="0">
      <alignment horizontal="center" vertical="top"/>
    </xf>
    <xf numFmtId="0" fontId="14" fillId="3" borderId="52" xfId="0">
      <alignment vertical="top"/>
    </xf>
    <xf numFmtId="0" fontId="15" fillId="4" borderId="52" xfId="0">
      <alignment vertical="top"/>
    </xf>
    <xf numFmtId="37858" fontId="53" fillId="4" borderId="52" xfId="0">
      <alignment horizontal="right" vertical="top"/>
    </xf>
    <xf numFmtId="37866" fontId="54" fillId="4" borderId="52" xfId="0">
      <alignment horizontal="right" vertical="top"/>
    </xf>
    <xf numFmtId="0" fontId="21" fillId="7" borderId="52" xfId="0">
      <alignment vertical="top"/>
    </xf>
    <xf numFmtId="37858" fontId="16" fillId="0" borderId="55" xfId="0">
      <alignment horizontal="right" vertical="top"/>
    </xf>
    <xf numFmtId="37866" fontId="16" fillId="0" borderId="55" xfId="0">
      <alignment horizontal="right" vertical="top"/>
    </xf>
    <xf numFmtId="37861" fontId="16" fillId="0" borderId="55" xfId="0">
      <alignment horizontal="right" vertical="top"/>
    </xf>
    <xf numFmtId="0" fontId="15" fillId="7" borderId="62" xfId="0">
      <alignment vertical="top"/>
    </xf>
    <xf numFmtId="37858" fontId="15" fillId="7" borderId="62" xfId="0">
      <alignment horizontal="right" vertical="top"/>
    </xf>
    <xf numFmtId="37866" fontId="15" fillId="7" borderId="62" xfId="0">
      <alignment horizontal="right" vertical="top"/>
    </xf>
    <xf numFmtId="37861" fontId="15" fillId="7" borderId="62" xfId="0">
      <alignment horizontal="right" vertical="top"/>
    </xf>
    <xf numFmtId="0" fontId="19" fillId="17" borderId="52" xfId="0">
      <alignment vertical="top"/>
    </xf>
    <xf numFmtId="0" fontId="15" fillId="17" borderId="63" xfId="0">
      <alignment vertical="top"/>
    </xf>
    <xf numFmtId="37858" fontId="15" fillId="17" borderId="63" xfId="0">
      <alignment horizontal="right" vertical="top"/>
    </xf>
    <xf numFmtId="37866" fontId="15" fillId="17" borderId="63" xfId="0">
      <alignment horizontal="right" vertical="top"/>
    </xf>
    <xf numFmtId="37861" fontId="15" fillId="17" borderId="63" xfId="0">
      <alignment horizontal="right" vertical="top"/>
    </xf>
    <xf numFmtId="0" fontId="23" fillId="12" borderId="58" xfId="0">
      <alignment vertical="top"/>
    </xf>
    <xf numFmtId="37858" fontId="23" fillId="12" borderId="58" xfId="0">
      <alignment horizontal="right" vertical="top"/>
    </xf>
    <xf numFmtId="37866" fontId="23" fillId="12" borderId="58" xfId="0">
      <alignment horizontal="right" vertical="top"/>
    </xf>
    <xf numFmtId="37861" fontId="23" fillId="12" borderId="58" xfId="0">
      <alignment horizontal="right" vertical="top"/>
    </xf>
    <xf numFmtId="0" fontId="23" fillId="12" borderId="58" xfId="0">
      <alignment horizontal="center" vertical="top"/>
    </xf>
    <xf numFmtId="37859" fontId="16" fillId="0" borderId="55" xfId="0">
      <alignment horizontal="right" vertical="top"/>
    </xf>
    <xf numFmtId="0" fontId="43" fillId="0" borderId="55" xfId="0">
      <alignment horizontal="right" vertical="top"/>
    </xf>
    <xf numFmtId="0" fontId="15" fillId="9" borderId="64" xfId="0">
      <alignment vertical="top"/>
    </xf>
    <xf numFmtId="37858" fontId="15" fillId="9" borderId="64" xfId="0">
      <alignment horizontal="right" vertical="top"/>
    </xf>
    <xf numFmtId="37866" fontId="15" fillId="9" borderId="64" xfId="0">
      <alignment horizontal="right" vertical="top"/>
    </xf>
    <xf numFmtId="0" fontId="55" fillId="9" borderId="64" xfId="0">
      <alignment horizontal="right" vertical="top"/>
    </xf>
    <xf numFmtId="0" fontId="42" fillId="9" borderId="64" xfId="0">
      <alignment vertical="top"/>
    </xf>
    <xf numFmtId="0" fontId="21" fillId="0" borderId="53" xfId="0">
      <alignment vertical="top"/>
    </xf>
    <xf numFmtId="0" fontId="51" fillId="2" borderId="1" xfId="0">
      <alignment horizontal="center" vertical="top"/>
    </xf>
    <xf numFmtId="0" fontId="52" fillId="12" borderId="1" xfId="0">
      <alignment horizontal="center" vertical="top"/>
    </xf>
    <xf numFmtId="0" fontId="14" fillId="2" borderId="1" xfId="0">
      <alignment vertical="top"/>
    </xf>
    <xf numFmtId="0" fontId="150" fillId="4" borderId="1" xfId="0">
      <alignment vertical="top"/>
    </xf>
    <xf numFmtId="0" fontId="23" fillId="4" borderId="1" xfId="0">
      <alignment vertical="top"/>
    </xf>
    <xf numFmtId="37866" fontId="56" fillId="4" borderId="1" xfId="0">
      <alignment vertical="top"/>
    </xf>
    <xf numFmtId="37910" fontId="45" fillId="4" borderId="1" xfId="0">
      <alignment vertical="top"/>
    </xf>
    <xf numFmtId="37910" fontId="46" fillId="4" borderId="1" xfId="0">
      <alignment vertical="top"/>
    </xf>
    <xf numFmtId="37866" fontId="44" fillId="4" borderId="1" xfId="0">
      <alignment vertical="top"/>
    </xf>
    <xf numFmtId="49" fontId="17" fillId="18" borderId="1" xfId="0">
      <alignment vertical="top"/>
    </xf>
    <xf numFmtId="0" fontId="17" fillId="18" borderId="1" xfId="0">
      <alignment vertical="top"/>
    </xf>
    <xf numFmtId="49" fontId="23" fillId="19" borderId="65" xfId="0">
      <alignment vertical="top"/>
    </xf>
    <xf numFmtId="49" fontId="23" fillId="20" borderId="65" xfId="0">
      <alignment vertical="top"/>
    </xf>
    <xf numFmtId="37858" fontId="23" fillId="20" borderId="65" xfId="0">
      <alignment vertical="top"/>
    </xf>
    <xf numFmtId="10" fontId="23" fillId="20" borderId="65" xfId="0">
      <alignment vertical="top"/>
    </xf>
    <xf numFmtId="49" fontId="57" fillId="20" borderId="65" xfId="0">
      <alignment vertical="top"/>
    </xf>
    <xf numFmtId="49" fontId="150" fillId="0" borderId="65" xfId="0">
      <alignment vertical="top"/>
    </xf>
    <xf numFmtId="37858" fontId="150" fillId="0" borderId="65" xfId="0">
      <alignment vertical="top"/>
    </xf>
    <xf numFmtId="10" fontId="150" fillId="0" borderId="65" xfId="0">
      <alignment vertical="top"/>
    </xf>
    <xf numFmtId="49" fontId="151" fillId="0" borderId="65" xfId="0">
      <alignment vertical="top"/>
    </xf>
    <xf numFmtId="49" fontId="152" fillId="0" borderId="65" xfId="0">
      <alignment vertical="top"/>
    </xf>
    <xf numFmtId="49" fontId="150" fillId="0" borderId="66" xfId="0">
      <alignment vertical="top"/>
    </xf>
    <xf numFmtId="37858" fontId="150" fillId="0" borderId="66" xfId="0">
      <alignment vertical="top"/>
    </xf>
    <xf numFmtId="10" fontId="150" fillId="0" borderId="66" xfId="0">
      <alignment vertical="top"/>
    </xf>
    <xf numFmtId="49" fontId="151" fillId="0" borderId="66" xfId="0">
      <alignment vertical="top"/>
    </xf>
    <xf numFmtId="49" fontId="17" fillId="21" borderId="1" xfId="0">
      <alignment vertical="top"/>
    </xf>
    <xf numFmtId="0" fontId="17" fillId="21" borderId="1" xfId="0">
      <alignment vertical="top"/>
    </xf>
    <xf numFmtId="49" fontId="23" fillId="22" borderId="67" xfId="0">
      <alignment vertical="top"/>
    </xf>
    <xf numFmtId="49" fontId="150" fillId="0" borderId="1" xfId="0">
      <alignment vertical="top"/>
    </xf>
    <xf numFmtId="37858" fontId="150" fillId="0" borderId="1" xfId="0">
      <alignment vertical="top"/>
    </xf>
    <xf numFmtId="10" fontId="150" fillId="0" borderId="1" xfId="0">
      <alignment vertical="top"/>
    </xf>
    <xf numFmtId="49" fontId="23" fillId="20" borderId="68" xfId="0">
      <alignment vertical="top"/>
    </xf>
    <xf numFmtId="37858" fontId="23" fillId="20" borderId="68" xfId="0">
      <alignment vertical="top"/>
    </xf>
    <xf numFmtId="10" fontId="23" fillId="20" borderId="68" xfId="0">
      <alignment vertical="top"/>
    </xf>
    <xf numFmtId="49" fontId="17" fillId="23" borderId="1" xfId="0">
      <alignment vertical="top"/>
    </xf>
    <xf numFmtId="0" fontId="17" fillId="23" borderId="1" xfId="0">
      <alignment vertical="top"/>
    </xf>
    <xf numFmtId="49" fontId="17" fillId="24" borderId="1" xfId="0">
      <alignment vertical="top"/>
    </xf>
    <xf numFmtId="0" fontId="17" fillId="24" borderId="1" xfId="0">
      <alignment vertical="top"/>
    </xf>
    <xf numFmtId="49" fontId="23" fillId="0" borderId="1" xfId="0">
      <alignment vertical="top"/>
    </xf>
    <xf numFmtId="49" fontId="17" fillId="25" borderId="1" xfId="0">
      <alignment vertical="top"/>
    </xf>
    <xf numFmtId="0" fontId="17" fillId="25" borderId="1" xfId="0">
      <alignment vertical="top"/>
    </xf>
    <xf numFmtId="49" fontId="23" fillId="22" borderId="1" xfId="0">
      <alignment vertical="top"/>
    </xf>
    <xf numFmtId="49" fontId="153" fillId="0" borderId="1" xfId="0">
      <alignment vertical="top"/>
    </xf>
    <xf numFmtId="49" fontId="154" fillId="0" borderId="1" xfId="0">
      <alignment vertical="top"/>
    </xf>
    <xf numFmtId="49" fontId="151" fillId="0" borderId="1" xfId="0">
      <alignment vertical="top"/>
    </xf>
    <xf numFmtId="49" fontId="155" fillId="0" borderId="1" xfId="0">
      <alignment vertical="top"/>
    </xf>
    <xf numFmtId="0" fontId="63" fillId="2" borderId="1" xfId="0">
      <alignment vertical="top"/>
    </xf>
    <xf numFmtId="0" fontId="64" fillId="0" borderId="1" xfId="0">
      <alignment vertical="top"/>
    </xf>
    <xf numFmtId="0" fontId="65" fillId="3" borderId="1" xfId="0">
      <alignment vertical="top"/>
    </xf>
    <xf numFmtId="0" fontId="66" fillId="0" borderId="1" xfId="0">
      <alignment horizontal="center" vertical="top"/>
    </xf>
    <xf numFmtId="37859" fontId="67" fillId="0" borderId="1" xfId="0">
      <alignment horizontal="center" vertical="top"/>
    </xf>
    <xf numFmtId="37910" fontId="67" fillId="0" borderId="1" xfId="0">
      <alignment horizontal="center" vertical="top"/>
    </xf>
    <xf numFmtId="3" fontId="67" fillId="0" borderId="1" xfId="0">
      <alignment horizontal="center" vertical="top"/>
    </xf>
    <xf numFmtId="0" fontId="68" fillId="12" borderId="1" xfId="0">
      <alignment vertical="top"/>
    </xf>
    <xf numFmtId="0" fontId="69" fillId="6" borderId="69" xfId="0">
      <alignment vertical="top"/>
    </xf>
    <xf numFmtId="0" fontId="70" fillId="0" borderId="32" xfId="0">
      <alignment vertical="top"/>
    </xf>
    <xf numFmtId="3" fontId="70" fillId="0" borderId="32" xfId="0">
      <alignment horizontal="center" vertical="top"/>
    </xf>
    <xf numFmtId="0" fontId="70" fillId="0" borderId="32" xfId="0">
      <alignment horizontal="center" vertical="top"/>
    </xf>
    <xf numFmtId="37869" fontId="70" fillId="0" borderId="32" xfId="0">
      <alignment horizontal="center" vertical="top"/>
    </xf>
    <xf numFmtId="37859" fontId="70" fillId="0" borderId="32" xfId="0">
      <alignment horizontal="center" vertical="top"/>
    </xf>
    <xf numFmtId="37861" fontId="70" fillId="0" borderId="32" xfId="0">
      <alignment horizontal="center" vertical="top"/>
    </xf>
    <xf numFmtId="37880" fontId="70" fillId="0" borderId="32" xfId="0">
      <alignment horizontal="center" vertical="top"/>
    </xf>
    <xf numFmtId="0" fontId="65" fillId="26" borderId="1" xfId="0">
      <alignment vertical="top"/>
    </xf>
    <xf numFmtId="0" fontId="69" fillId="27" borderId="70" xfId="0">
      <alignment vertical="top"/>
    </xf>
    <xf numFmtId="0" fontId="71" fillId="0" borderId="32" xfId="0">
      <alignment vertical="top"/>
    </xf>
    <xf numFmtId="0" fontId="72" fillId="0" borderId="32" xfId="0">
      <alignment vertical="top"/>
    </xf>
    <xf numFmtId="0" fontId="73" fillId="3" borderId="1" xfId="0">
      <alignment vertical="top"/>
    </xf>
    <xf numFmtId="0" fontId="74" fillId="0" borderId="1" xfId="0">
      <alignment vertical="top"/>
    </xf>
    <xf numFmtId="0" fontId="75" fillId="2" borderId="1" xfId="0">
      <alignment vertical="top"/>
    </xf>
    <xf numFmtId="0" fontId="65" fillId="2" borderId="1" xfId="0">
      <alignment vertical="top"/>
    </xf>
    <xf numFmtId="37859" fontId="76" fillId="0" borderId="32" xfId="0">
      <alignment horizontal="center" vertical="top"/>
    </xf>
    <xf numFmtId="37858" fontId="70" fillId="0" borderId="32" xfId="0">
      <alignment horizontal="center" vertical="top"/>
    </xf>
    <xf numFmtId="37866" fontId="70" fillId="0" borderId="32" xfId="0">
      <alignment horizontal="center" vertical="top"/>
    </xf>
    <xf numFmtId="0" fontId="77" fillId="0" borderId="32" xfId="0">
      <alignment vertical="top"/>
    </xf>
    <xf numFmtId="37869" fontId="76" fillId="0" borderId="32" xfId="0">
      <alignment horizontal="center" vertical="top"/>
    </xf>
    <xf numFmtId="37860" fontId="76" fillId="0" borderId="32" xfId="0">
      <alignment horizontal="center" vertical="top"/>
    </xf>
    <xf numFmtId="37860" fontId="70" fillId="0" borderId="32" xfId="0">
      <alignment horizontal="center" vertical="top"/>
    </xf>
    <xf numFmtId="37889" fontId="70" fillId="0" borderId="32" xfId="0">
      <alignment horizontal="center" vertical="top"/>
    </xf>
    <xf numFmtId="37871" fontId="76" fillId="0" borderId="32" xfId="0">
      <alignment horizontal="center" vertical="top"/>
    </xf>
    <xf numFmtId="37871" fontId="70" fillId="0" borderId="32" xfId="0">
      <alignment horizontal="center" vertical="top"/>
    </xf>
    <xf numFmtId="37890" fontId="70" fillId="0" borderId="32" xfId="0">
      <alignment horizontal="center" vertical="top"/>
    </xf>
    <xf numFmtId="37888" fontId="70" fillId="0" borderId="32" xfId="0">
      <alignment horizontal="center" vertical="top"/>
    </xf>
    <xf numFmtId="3" fontId="76" fillId="0" borderId="32" xfId="0">
      <alignment horizontal="center" vertical="top"/>
    </xf>
    <xf numFmtId="0" fontId="69" fillId="0" borderId="32" xfId="0">
      <alignment vertical="top"/>
    </xf>
    <xf numFmtId="0" fontId="78" fillId="0" borderId="32" xfId="0">
      <alignment horizontal="center" vertical="top"/>
    </xf>
    <xf numFmtId="0" fontId="79" fillId="0" borderId="32" xfId="0">
      <alignment horizontal="center" vertical="top"/>
    </xf>
    <xf numFmtId="0" fontId="80" fillId="0" borderId="32" xfId="0">
      <alignment horizontal="center" vertical="top"/>
    </xf>
    <xf numFmtId="0" fontId="81" fillId="0" borderId="32" xfId="0">
      <alignment horizontal="center" vertical="top"/>
    </xf>
    <xf numFmtId="0" fontId="82" fillId="0" borderId="32" xfId="0">
      <alignment horizontal="center" vertical="top"/>
    </xf>
    <xf numFmtId="0" fontId="65" fillId="8" borderId="1" xfId="0">
      <alignment vertical="top"/>
    </xf>
    <xf numFmtId="0" fontId="69" fillId="7" borderId="71" xfId="0">
      <alignment vertical="top"/>
    </xf>
    <xf numFmtId="0" fontId="65" fillId="5" borderId="1" xfId="0">
      <alignment vertical="top"/>
    </xf>
    <xf numFmtId="0" fontId="69" fillId="9" borderId="72" xfId="0">
      <alignment vertical="top"/>
    </xf>
    <xf numFmtId="0" fontId="65" fillId="28" borderId="1" xfId="0">
      <alignment vertical="top"/>
    </xf>
    <xf numFmtId="0" fontId="69" fillId="16" borderId="73" xfId="0">
      <alignment vertical="top"/>
    </xf>
    <xf numFmtId="0" fontId="65" fillId="29" borderId="1" xfId="0">
      <alignment vertical="top"/>
    </xf>
    <xf numFmtId="0" fontId="69" fillId="30" borderId="74" xfId="0">
      <alignment vertical="top"/>
    </xf>
    <xf numFmtId="0" fontId="65" fillId="15" borderId="1" xfId="0">
      <alignment vertical="top"/>
    </xf>
    <xf numFmtId="0" fontId="69" fillId="31" borderId="75" xfId="0">
      <alignment vertical="top"/>
    </xf>
    <xf numFmtId="0" fontId="70" fillId="7" borderId="32" xfId="0">
      <alignment vertical="top"/>
    </xf>
    <xf numFmtId="0" fontId="70" fillId="9" borderId="32" xfId="0">
      <alignment vertical="top"/>
    </xf>
    <xf numFmtId="0" fontId="70" fillId="16" borderId="32" xfId="0">
      <alignment vertical="top"/>
    </xf>
    <xf numFmtId="0" fontId="70" fillId="30" borderId="32" xfId="0">
      <alignment vertical="top"/>
    </xf>
    <xf numFmtId="0" fontId="65" fillId="10" borderId="1" xfId="0">
      <alignment vertical="top"/>
    </xf>
    <xf numFmtId="0" fontId="69" fillId="17" borderId="76" xfId="0">
      <alignment vertical="top"/>
    </xf>
    <xf numFmtId="0" fontId="75" fillId="2" borderId="1" xfId="0">
      <alignment horizontal="center" vertical="bottom"/>
    </xf>
    <xf numFmtId="0" fontId="64" fillId="0" borderId="1" xfId="0">
      <alignment horizontal="center" vertical="bottom"/>
    </xf>
    <xf numFmtId="0" fontId="83" fillId="6" borderId="30" xfId="0">
      <alignment vertical="center"/>
    </xf>
    <xf numFmtId="37935" fontId="84" fillId="6" borderId="30" xfId="0">
      <alignment horizontal="right" vertical="center"/>
    </xf>
    <xf numFmtId="0" fontId="85" fillId="12" borderId="1" xfId="0"/>
    <xf numFmtId="0" fontId="14" fillId="3" borderId="30" xfId="0"/>
    <xf numFmtId="0" fontId="86" fillId="6" borderId="31" xfId="0"/>
    <xf numFmtId="0" fontId="87" fillId="0" borderId="32" xfId="0"/>
    <xf numFmtId="0" fontId="88" fillId="7" borderId="33" xfId="0">
      <alignment horizontal="center" vertical="bottom"/>
    </xf>
    <xf numFmtId="0" fontId="88" fillId="9" borderId="33" xfId="0">
      <alignment horizontal="center" vertical="bottom"/>
    </xf>
    <xf numFmtId="0" fontId="89" fillId="17" borderId="33" xfId="0">
      <alignment horizontal="center" vertical="bottom"/>
    </xf>
    <xf numFmtId="0" fontId="89" fillId="7" borderId="33" xfId="0">
      <alignment horizontal="center" vertical="bottom"/>
    </xf>
    <xf numFmtId="0" fontId="89" fillId="32" borderId="33" xfId="0">
      <alignment horizontal="center" vertical="bottom"/>
    </xf>
    <xf numFmtId="0" fontId="1" fillId="32" borderId="1" xfId="0"/>
    <xf numFmtId="3" fontId="90" fillId="7" borderId="33" xfId="0">
      <alignment horizontal="center" vertical="bottom"/>
    </xf>
    <xf numFmtId="0" fontId="87" fillId="7" borderId="33" xfId="0"/>
    <xf numFmtId="3" fontId="91" fillId="9" borderId="33" xfId="0">
      <alignment horizontal="center" vertical="bottom"/>
    </xf>
    <xf numFmtId="0" fontId="87" fillId="9" borderId="33" xfId="0"/>
    <xf numFmtId="37859" fontId="91" fillId="9" borderId="33" xfId="0">
      <alignment horizontal="center" vertical="bottom"/>
    </xf>
    <xf numFmtId="3" fontId="92" fillId="17" borderId="33" xfId="0">
      <alignment horizontal="center" vertical="bottom"/>
    </xf>
    <xf numFmtId="0" fontId="1" fillId="17" borderId="33" xfId="0"/>
    <xf numFmtId="37858" fontId="93" fillId="7" borderId="33" xfId="0">
      <alignment horizontal="center" vertical="bottom"/>
    </xf>
    <xf numFmtId="0" fontId="1" fillId="7" borderId="33" xfId="0"/>
    <xf numFmtId="37858" fontId="94" fillId="32" borderId="33" xfId="0">
      <alignment horizontal="center" vertical="bottom"/>
    </xf>
    <xf numFmtId="0" fontId="1" fillId="32" borderId="33" xfId="0"/>
    <xf numFmtId="0" fontId="95" fillId="3" borderId="32" xfId="0"/>
    <xf numFmtId="0" fontId="87" fillId="6" borderId="34" xfId="0"/>
    <xf numFmtId="0" fontId="87" fillId="6" borderId="34" xfId="0">
      <alignment horizontal="center" vertical="bottom"/>
    </xf>
    <xf numFmtId="0" fontId="96" fillId="6" borderId="35" xfId="0">
      <alignment horizontal="center" vertical="bottom"/>
    </xf>
    <xf numFmtId="0" fontId="87" fillId="33" borderId="36" xfId="0"/>
    <xf numFmtId="3" fontId="87" fillId="33" borderId="36" xfId="0">
      <alignment horizontal="center" vertical="bottom"/>
    </xf>
    <xf numFmtId="37859" fontId="87" fillId="33" borderId="36" xfId="0">
      <alignment horizontal="center" vertical="bottom"/>
    </xf>
    <xf numFmtId="37858" fontId="97" fillId="33" borderId="37" xfId="0">
      <alignment horizontal="center" vertical="bottom"/>
    </xf>
    <xf numFmtId="0" fontId="87" fillId="32" borderId="36" xfId="0"/>
    <xf numFmtId="3" fontId="87" fillId="32" borderId="36" xfId="0">
      <alignment horizontal="center" vertical="bottom"/>
    </xf>
    <xf numFmtId="37859" fontId="87" fillId="32" borderId="36" xfId="0">
      <alignment horizontal="center" vertical="bottom"/>
    </xf>
    <xf numFmtId="37858" fontId="97" fillId="32" borderId="37" xfId="0">
      <alignment horizontal="center" vertical="bottom"/>
    </xf>
    <xf numFmtId="0" fontId="87" fillId="34" borderId="34" xfId="0"/>
    <xf numFmtId="3" fontId="87" fillId="34" borderId="34" xfId="0">
      <alignment horizontal="center" vertical="bottom"/>
    </xf>
    <xf numFmtId="37859" fontId="87" fillId="34" borderId="34" xfId="0">
      <alignment horizontal="center" vertical="bottom"/>
    </xf>
    <xf numFmtId="37858" fontId="98" fillId="34" borderId="38" xfId="0">
      <alignment horizontal="center" vertical="bottom"/>
    </xf>
    <xf numFmtId="0" fontId="87" fillId="6" borderId="39" xfId="0"/>
    <xf numFmtId="0" fontId="87" fillId="6" borderId="39" xfId="0">
      <alignment horizontal="center" vertical="bottom"/>
    </xf>
    <xf numFmtId="0" fontId="87" fillId="33" borderId="32" xfId="0"/>
    <xf numFmtId="3" fontId="87" fillId="33" borderId="32" xfId="0">
      <alignment horizontal="center" vertical="bottom"/>
    </xf>
    <xf numFmtId="37859" fontId="87" fillId="33" borderId="32" xfId="0">
      <alignment horizontal="center" vertical="bottom"/>
    </xf>
    <xf numFmtId="37858" fontId="87" fillId="33" borderId="32" xfId="0">
      <alignment horizontal="center" vertical="bottom"/>
    </xf>
    <xf numFmtId="0" fontId="87" fillId="32" borderId="32" xfId="0"/>
    <xf numFmtId="3" fontId="87" fillId="32" borderId="32" xfId="0">
      <alignment horizontal="center" vertical="bottom"/>
    </xf>
    <xf numFmtId="37859" fontId="87" fillId="32" borderId="32" xfId="0">
      <alignment horizontal="center" vertical="bottom"/>
    </xf>
    <xf numFmtId="37858" fontId="87" fillId="32" borderId="32" xfId="0">
      <alignment horizontal="center" vertical="bottom"/>
    </xf>
    <xf numFmtId="0" fontId="97" fillId="33" borderId="1" xfId="0"/>
    <xf numFmtId="3" fontId="97" fillId="33" borderId="1" xfId="0">
      <alignment horizontal="center" vertical="bottom"/>
    </xf>
    <xf numFmtId="37859" fontId="97" fillId="33" borderId="1" xfId="0">
      <alignment horizontal="center" vertical="bottom"/>
    </xf>
    <xf numFmtId="37858" fontId="97" fillId="33" borderId="1" xfId="0">
      <alignment horizontal="center" vertical="bottom"/>
    </xf>
    <xf numFmtId="0" fontId="97" fillId="32" borderId="1" xfId="0"/>
    <xf numFmtId="3" fontId="97" fillId="32" borderId="1" xfId="0">
      <alignment horizontal="center" vertical="bottom"/>
    </xf>
    <xf numFmtId="37859" fontId="97" fillId="32" borderId="1" xfId="0">
      <alignment horizontal="center" vertical="bottom"/>
    </xf>
    <xf numFmtId="37858" fontId="97" fillId="32" borderId="1" xfId="0">
      <alignment horizontal="center" vertical="bottom"/>
    </xf>
    <xf numFmtId="3" fontId="85" fillId="12" borderId="1" xfId="0">
      <alignment horizontal="center" vertical="bottom"/>
    </xf>
    <xf numFmtId="37859" fontId="85" fillId="12" borderId="1" xfId="0">
      <alignment horizontal="center" vertical="bottom"/>
    </xf>
    <xf numFmtId="37858" fontId="85" fillId="12" borderId="1" xfId="0">
      <alignment horizontal="center" vertical="bottom"/>
    </xf>
    <xf numFmtId="0" fontId="87" fillId="34" borderId="39" xfId="0"/>
    <xf numFmtId="3" fontId="87" fillId="34" borderId="39" xfId="0">
      <alignment horizontal="center" vertical="bottom"/>
    </xf>
    <xf numFmtId="37859" fontId="87" fillId="34" borderId="39" xfId="0">
      <alignment horizontal="center" vertical="bottom"/>
    </xf>
    <xf numFmtId="37858" fontId="87" fillId="34" borderId="39" xfId="0">
      <alignment horizontal="center" vertical="bottom"/>
    </xf>
    <xf numFmtId="0" fontId="88" fillId="32" borderId="32" xfId="0"/>
    <xf numFmtId="0" fontId="99" fillId="32" borderId="1" xfId="0"/>
    <xf numFmtId="0" fontId="96" fillId="6" borderId="40" xfId="0"/>
    <xf numFmtId="0" fontId="96" fillId="6" borderId="40" xfId="0">
      <alignment horizontal="center" vertical="bottom"/>
    </xf>
    <xf numFmtId="3" fontId="100" fillId="33" borderId="1" xfId="0">
      <alignment horizontal="center" vertical="bottom"/>
    </xf>
    <xf numFmtId="3" fontId="101" fillId="31" borderId="1" xfId="0">
      <alignment horizontal="center" vertical="bottom"/>
    </xf>
    <xf numFmtId="3" fontId="100" fillId="32" borderId="1" xfId="0">
      <alignment horizontal="center" vertical="bottom"/>
    </xf>
    <xf numFmtId="0" fontId="96" fillId="6" borderId="41" xfId="0"/>
    <xf numFmtId="0" fontId="97" fillId="0" borderId="1" xfId="0"/>
    <xf numFmtId="37859" fontId="98" fillId="9" borderId="1" xfId="0">
      <alignment horizontal="center" vertical="bottom"/>
    </xf>
    <xf numFmtId="0" fontId="97" fillId="0" borderId="30" xfId="0"/>
    <xf numFmtId="0" fontId="1" fillId="0" borderId="30" xfId="0"/>
    <xf numFmtId="37859" fontId="98" fillId="9" borderId="30" xfId="0">
      <alignment horizontal="center" vertical="bottom"/>
    </xf>
    <xf numFmtId="0" fontId="102" fillId="2" borderId="1" xfId="0">
      <alignment vertical="top"/>
    </xf>
    <xf numFmtId="0" fontId="103" fillId="6" borderId="69" xfId="0">
      <alignment vertical="top"/>
    </xf>
    <xf numFmtId="0" fontId="104" fillId="0" borderId="32" xfId="0">
      <alignment vertical="top"/>
    </xf>
    <xf numFmtId="0" fontId="73" fillId="15" borderId="1" xfId="0">
      <alignment vertical="top"/>
    </xf>
    <xf numFmtId="0" fontId="73" fillId="35" borderId="1" xfId="0">
      <alignment vertical="top"/>
    </xf>
    <xf numFmtId="0" fontId="105" fillId="36" borderId="1" xfId="0">
      <alignment vertical="top"/>
    </xf>
    <xf numFmtId="37959" fontId="106" fillId="0" borderId="1" xfId="0">
      <alignment vertical="top"/>
    </xf>
    <xf numFmtId="0" fontId="107" fillId="20" borderId="1" xfId="0">
      <alignment vertical="top"/>
    </xf>
    <xf numFmtId="0" fontId="108" fillId="0" borderId="1" xfId="0">
      <alignment horizontal="center" vertical="top"/>
    </xf>
    <xf numFmtId="0" fontId="109" fillId="0" borderId="1" xfId="0">
      <alignment horizontal="center" vertical="top"/>
    </xf>
    <xf numFmtId="0" fontId="104" fillId="0" borderId="1" xfId="0">
      <alignment vertical="top"/>
    </xf>
    <xf numFmtId="0" fontId="110" fillId="0" borderId="1" xfId="0">
      <alignment horizontal="center" vertical="top"/>
    </xf>
    <xf numFmtId="0" fontId="104" fillId="0" borderId="1" xfId="0">
      <alignment horizontal="center" vertical="top"/>
    </xf>
    <xf numFmtId="0" fontId="103" fillId="0" borderId="1" xfId="0">
      <alignment horizontal="center" vertical="top"/>
    </xf>
    <xf numFmtId="49" fontId="111" fillId="20" borderId="1" xfId="0">
      <alignment vertical="top"/>
    </xf>
    <xf numFmtId="0" fontId="112" fillId="27" borderId="1" xfId="0">
      <alignment vertical="top"/>
    </xf>
    <xf numFmtId="0" fontId="69" fillId="6" borderId="1" xfId="0">
      <alignment horizontal="center" vertical="top"/>
    </xf>
    <xf numFmtId="37869" fontId="113" fillId="0" borderId="1" xfId="0">
      <alignment horizontal="center" vertical="top"/>
    </xf>
    <xf numFmtId="3" fontId="113" fillId="0" borderId="1" xfId="0">
      <alignment horizontal="center" vertical="top"/>
    </xf>
    <xf numFmtId="0" fontId="69" fillId="0" borderId="1" xfId="0">
      <alignment vertical="top"/>
    </xf>
    <xf numFmtId="37869" fontId="69" fillId="0" borderId="1" xfId="0">
      <alignment vertical="top"/>
    </xf>
    <xf numFmtId="0" fontId="114" fillId="0" borderId="32" xfId="0">
      <alignment vertical="top"/>
    </xf>
    <xf numFmtId="37871" fontId="115" fillId="0" borderId="32" xfId="0">
      <alignment horizontal="center" vertical="top"/>
    </xf>
    <xf numFmtId="37869" fontId="115" fillId="0" borderId="32" xfId="0">
      <alignment horizontal="center" vertical="top"/>
    </xf>
    <xf numFmtId="37880" fontId="115" fillId="0" borderId="32" xfId="0">
      <alignment horizontal="center" vertical="top"/>
    </xf>
    <xf numFmtId="0" fontId="104" fillId="0" borderId="1" xfId="0">
      <alignment horizontal="right" vertical="top"/>
    </xf>
    <xf numFmtId="0" fontId="103" fillId="0" borderId="1" xfId="0">
      <alignment vertical="top"/>
    </xf>
    <xf numFmtId="0" fontId="103" fillId="34" borderId="41" xfId="0">
      <alignment vertical="top"/>
    </xf>
    <xf numFmtId="0" fontId="116" fillId="0" borderId="1" xfId="0">
      <alignment vertical="top"/>
    </xf>
    <xf numFmtId="0" fontId="73" fillId="2" borderId="1" xfId="0">
      <alignment vertical="top"/>
    </xf>
    <xf numFmtId="0" fontId="73" fillId="8" borderId="1" xfId="0">
      <alignment vertical="top"/>
    </xf>
    <xf numFmtId="0" fontId="69" fillId="6" borderId="31" xfId="0">
      <alignment vertical="top"/>
    </xf>
    <xf numFmtId="0" fontId="69" fillId="6" borderId="31" xfId="0">
      <alignment horizontal="right" vertical="top"/>
    </xf>
    <xf numFmtId="0" fontId="117" fillId="0" borderId="1" xfId="0">
      <alignment vertical="top"/>
    </xf>
    <xf numFmtId="37858" fontId="70" fillId="0" borderId="32" xfId="0">
      <alignment horizontal="right" vertical="top"/>
    </xf>
    <xf numFmtId="37859" fontId="70" fillId="0" borderId="32" xfId="0">
      <alignment horizontal="right" vertical="top"/>
    </xf>
    <xf numFmtId="37858" fontId="104" fillId="0" borderId="1" xfId="0">
      <alignment vertical="top"/>
    </xf>
    <xf numFmtId="37859" fontId="104" fillId="0" borderId="1" xfId="0">
      <alignment vertical="top"/>
    </xf>
    <xf numFmtId="37859" fontId="150" fillId="0" borderId="1" xfId="0">
      <alignment vertical="top"/>
    </xf>
    <xf numFmtId="37970" fontId="70" fillId="0" borderId="32" xfId="0">
      <alignment horizontal="right" vertical="top"/>
    </xf>
    <xf numFmtId="0" fontId="70" fillId="0" borderId="32" xfId="0">
      <alignment horizontal="right" vertical="top"/>
    </xf>
    <xf numFmtId="0" fontId="103" fillId="7" borderId="1" xfId="0">
      <alignment vertical="top"/>
    </xf>
    <xf numFmtId="37858" fontId="103" fillId="7" borderId="1" xfId="0">
      <alignment vertical="top"/>
    </xf>
    <xf numFmtId="37859" fontId="103" fillId="7" borderId="1" xfId="0">
      <alignment vertical="top"/>
    </xf>
    <xf numFmtId="0" fontId="103" fillId="9" borderId="1" xfId="0">
      <alignment vertical="top"/>
    </xf>
    <xf numFmtId="37858" fontId="103" fillId="9" borderId="1" xfId="0">
      <alignment vertical="top"/>
    </xf>
    <xf numFmtId="37859" fontId="103" fillId="9" borderId="1" xfId="0">
      <alignment vertical="top"/>
    </xf>
    <xf numFmtId="0" fontId="114" fillId="0" borderId="1" xfId="0">
      <alignment vertical="top"/>
    </xf>
    <xf numFmtId="0" fontId="103" fillId="31" borderId="1" xfId="0">
      <alignment vertical="top"/>
    </xf>
    <xf numFmtId="3" fontId="150" fillId="0" borderId="1" xfId="0">
      <alignment vertical="top"/>
    </xf>
    <xf numFmtId="37970" fontId="150" fillId="0" borderId="1" xfId="0">
      <alignment vertical="top"/>
    </xf>
    <xf numFmtId="0" fontId="82" fillId="0" borderId="1" xfId="0">
      <alignment vertical="top"/>
    </xf>
    <xf numFmtId="3" fontId="103" fillId="7" borderId="1" xfId="0">
      <alignment vertical="top"/>
    </xf>
    <xf numFmtId="0" fontId="69" fillId="16" borderId="1" xfId="0">
      <alignment vertical="top"/>
    </xf>
    <xf numFmtId="37858" fontId="69" fillId="16" borderId="1" xfId="0">
      <alignment vertical="top"/>
    </xf>
    <xf numFmtId="0" fontId="69" fillId="0" borderId="32" xfId="0">
      <alignment horizontal="center" vertical="top"/>
    </xf>
    <xf numFmtId="0" fontId="150" fillId="0" borderId="32" xfId="0">
      <alignment vertical="top"/>
    </xf>
    <xf numFmtId="0" fontId="118" fillId="7" borderId="32" xfId="0">
      <alignment horizontal="center" vertical="top"/>
    </xf>
    <xf numFmtId="0" fontId="69" fillId="6" borderId="1" xfId="0">
      <alignment vertical="top"/>
    </xf>
    <xf numFmtId="3" fontId="69" fillId="0" borderId="1" xfId="0">
      <alignment vertical="top"/>
    </xf>
    <xf numFmtId="0" fontId="102" fillId="2" borderId="51" xfId="0">
      <alignment vertical="top"/>
    </xf>
    <xf numFmtId="0" fontId="119" fillId="4" borderId="52" xfId="0">
      <alignment horizontal="center" vertical="top"/>
    </xf>
    <xf numFmtId="37858" fontId="44" fillId="4" borderId="52" xfId="0">
      <alignment horizontal="center" vertical="top"/>
    </xf>
    <xf numFmtId="37866" fontId="45" fillId="4" borderId="52" xfId="0">
      <alignment horizontal="center" vertical="top"/>
    </xf>
    <xf numFmtId="37861" fontId="44" fillId="4" borderId="52" xfId="0">
      <alignment horizontal="center" vertical="top"/>
    </xf>
    <xf numFmtId="0" fontId="56" fillId="4" borderId="52" xfId="0">
      <alignment horizontal="center" vertical="top"/>
    </xf>
    <xf numFmtId="0" fontId="26" fillId="0" borderId="55" xfId="0">
      <alignment horizontal="center" vertical="top"/>
    </xf>
    <xf numFmtId="0" fontId="15" fillId="12" borderId="58" xfId="0">
      <alignment vertical="top"/>
    </xf>
    <xf numFmtId="37858" fontId="15" fillId="12" borderId="58" xfId="0">
      <alignment horizontal="right" vertical="top"/>
    </xf>
    <xf numFmtId="37866" fontId="15" fillId="12" borderId="58" xfId="0">
      <alignment horizontal="right" vertical="top"/>
    </xf>
    <xf numFmtId="37861" fontId="15" fillId="12" borderId="58" xfId="0">
      <alignment horizontal="right" vertical="top"/>
    </xf>
    <xf numFmtId="0" fontId="15" fillId="12" borderId="58" xfId="0">
      <alignment horizontal="center" vertical="top"/>
    </xf>
    <xf numFmtId="0" fontId="120" fillId="12" borderId="58" xfId="0">
      <alignment vertical="top"/>
    </xf>
    <xf numFmtId="37866" fontId="15" fillId="0" borderId="55" xfId="0">
      <alignment horizontal="center" vertical="top"/>
    </xf>
    <xf numFmtId="0" fontId="19" fillId="0" borderId="55" xfId="0">
      <alignment vertical="top"/>
    </xf>
    <xf numFmtId="0" fontId="121" fillId="0" borderId="55" xfId="0">
      <alignment vertical="top"/>
    </xf>
    <xf numFmtId="0" fontId="15" fillId="0" borderId="55" xfId="0">
      <alignment horizontal="center" vertical="top"/>
    </xf>
    <xf numFmtId="0" fontId="69" fillId="6" borderId="69" xfId="0">
      <alignment horizontal="center" vertical="top"/>
    </xf>
    <xf numFmtId="0" fontId="122" fillId="12" borderId="1" xfId="0">
      <alignment vertical="top"/>
    </xf>
    <xf numFmtId="0" fontId="70" fillId="0" borderId="77" xfId="0">
      <alignment vertical="top"/>
    </xf>
    <xf numFmtId="37858" fontId="69" fillId="0" borderId="78" xfId="0">
      <alignment vertical="top"/>
    </xf>
    <xf numFmtId="0" fontId="70" fillId="19" borderId="32" xfId="0">
      <alignment vertical="top"/>
    </xf>
    <xf numFmtId="37858" fontId="69" fillId="19" borderId="1" xfId="0">
      <alignment vertical="top"/>
    </xf>
    <xf numFmtId="37858" fontId="69" fillId="0" borderId="79" xfId="0">
      <alignment vertical="top"/>
    </xf>
    <xf numFmtId="37860" fontId="70" fillId="0" borderId="1" xfId="0">
      <alignment horizontal="center" vertical="top"/>
    </xf>
    <xf numFmtId="0" fontId="70" fillId="25" borderId="32" xfId="0">
      <alignment vertical="top"/>
    </xf>
    <xf numFmtId="37858" fontId="69" fillId="25" borderId="1" xfId="0">
      <alignment vertical="top"/>
    </xf>
    <xf numFmtId="0" fontId="70" fillId="0" borderId="80" xfId="0">
      <alignment vertical="top"/>
    </xf>
    <xf numFmtId="37858" fontId="69" fillId="0" borderId="81" xfId="0">
      <alignment vertical="top"/>
    </xf>
    <xf numFmtId="37860" fontId="115" fillId="0" borderId="32" xfId="0">
      <alignment horizontal="center" vertical="top"/>
    </xf>
    <xf numFmtId="0" fontId="69" fillId="12" borderId="81" xfId="0">
      <alignment vertical="top"/>
    </xf>
    <xf numFmtId="37858" fontId="69" fillId="12" borderId="81" xfId="0">
      <alignment vertical="top"/>
    </xf>
    <xf numFmtId="37866" fontId="69" fillId="12" borderId="81" xfId="0">
      <alignment vertical="top"/>
    </xf>
    <xf numFmtId="37859" fontId="69" fillId="12" borderId="81" xfId="0">
      <alignment vertical="top"/>
    </xf>
    <xf numFmtId="0" fontId="69" fillId="12" borderId="82" xfId="0">
      <alignment vertical="top"/>
    </xf>
    <xf numFmtId="37858" fontId="69" fillId="12" borderId="82" xfId="0">
      <alignment vertical="top"/>
    </xf>
    <xf numFmtId="37859" fontId="69" fillId="12" borderId="82" xfId="0">
      <alignment vertical="top"/>
    </xf>
    <xf numFmtId="2" fontId="70" fillId="0" borderId="32" xfId="0">
      <alignment horizontal="center" vertical="top"/>
    </xf>
    <xf numFmtId="0" fontId="70" fillId="6" borderId="32" xfId="0">
      <alignment vertical="top"/>
    </xf>
    <xf numFmtId="37859" fontId="115" fillId="0" borderId="32" xfId="0">
      <alignment horizontal="center" vertical="top"/>
    </xf>
    <xf numFmtId="1" fontId="115" fillId="0" borderId="32" xfId="0">
      <alignment horizontal="center" vertical="top"/>
    </xf>
    <xf numFmtId="3" fontId="69" fillId="12" borderId="82" xfId="0">
      <alignment vertical="top"/>
    </xf>
    <xf numFmtId="37869" fontId="80" fillId="0" borderId="32" xfId="0">
      <alignment horizontal="center" vertical="top"/>
    </xf>
    <xf numFmtId="3" fontId="69" fillId="12" borderId="81" xfId="0">
      <alignment horizontal="center" vertical="top"/>
    </xf>
    <xf numFmtId="37859" fontId="69" fillId="12" borderId="81" xfId="0">
      <alignment horizontal="center" vertical="top"/>
    </xf>
    <xf numFmtId="37869" fontId="69" fillId="12" borderId="81" xfId="0">
      <alignment horizontal="center" vertical="top"/>
    </xf>
    <xf numFmtId="37861" fontId="150" fillId="0" borderId="1" xfId="0">
      <alignment vertical="top"/>
    </xf>
    <xf numFmtId="37869" fontId="150" fillId="0" borderId="1" xfId="0">
      <alignment vertical="top"/>
    </xf>
    <xf numFmtId="37866" fontId="150" fillId="0" borderId="1" xfId="0">
      <alignment vertical="top"/>
    </xf>
    <xf numFmtId="37970" fontId="70" fillId="0" borderId="32" xfId="0">
      <alignment horizontal="center" vertical="top"/>
    </xf>
    <xf numFmtId="3" fontId="69" fillId="12" borderId="81" xfId="0">
      <alignment vertical="top"/>
    </xf>
    <xf numFmtId="37869" fontId="69" fillId="12" borderId="81" xfId="0">
      <alignment vertical="top"/>
    </xf>
    <xf numFmtId="37970" fontId="69" fillId="12" borderId="81" xfId="0">
      <alignment vertical="top"/>
    </xf>
    <xf numFmtId="37871" fontId="69" fillId="12" borderId="81" xfId="0">
      <alignment vertical="top"/>
    </xf>
    <xf numFmtId="38007" fontId="70" fillId="0" borderId="32" xfId="0">
      <alignment horizontal="center" vertical="top"/>
    </xf>
    <xf numFmtId="37861" fontId="115" fillId="0" borderId="32" xfId="0">
      <alignment horizontal="center" vertical="top"/>
    </xf>
    <xf numFmtId="37871" fontId="69" fillId="12" borderId="82" xfId="0">
      <alignment vertical="top"/>
    </xf>
    <xf numFmtId="37890" fontId="69" fillId="12" borderId="82" xfId="0">
      <alignment vertical="top"/>
    </xf>
    <xf numFmtId="37869" fontId="69" fillId="12" borderId="82" xfId="0">
      <alignment vertical="top"/>
    </xf>
    <xf numFmtId="37866" fontId="69" fillId="12" borderId="82" xfId="0">
      <alignment vertical="top"/>
    </xf>
    <xf numFmtId="3" fontId="115" fillId="0" borderId="32" xfId="0">
      <alignment horizontal="center" vertical="top"/>
    </xf>
    <xf numFmtId="2" fontId="115" fillId="0" borderId="32" xfId="0">
      <alignment horizontal="center" vertical="top"/>
    </xf>
    <xf numFmtId="0" fontId="123" fillId="0" borderId="32" xfId="0">
      <alignment horizontal="center" vertical="top"/>
    </xf>
    <xf numFmtId="0" fontId="124" fillId="0" borderId="32" xfId="0">
      <alignment horizontal="center" vertical="top"/>
    </xf>
    <xf numFmtId="1" fontId="76" fillId="0" borderId="32" xfId="0">
      <alignment horizontal="center" vertical="top"/>
    </xf>
    <xf numFmtId="1" fontId="70" fillId="0" borderId="32" xfId="0">
      <alignment horizontal="center" vertical="top"/>
    </xf>
    <xf numFmtId="38013" fontId="76" fillId="0" borderId="32" xfId="0">
      <alignment horizontal="center" vertical="top"/>
    </xf>
    <xf numFmtId="37880" fontId="69" fillId="12" borderId="82" xfId="0">
      <alignment vertical="top"/>
    </xf>
    <xf numFmtId="10" fontId="70" fillId="0" borderId="32" xfId="0">
      <alignment horizontal="center" vertical="top"/>
    </xf>
    <xf numFmtId="10" fontId="69" fillId="12" borderId="82" xfId="0">
      <alignment vertical="top"/>
    </xf>
    <xf numFmtId="37870" fontId="70" fillId="0" borderId="32" xfId="0">
      <alignment horizontal="center" vertical="top"/>
    </xf>
    <xf numFmtId="38013" fontId="70" fillId="0" borderId="32" xfId="0">
      <alignment horizontal="center" vertical="top"/>
    </xf>
    <xf numFmtId="49" fontId="51" fillId="2" borderId="1" xfId="0">
      <alignment vertical="top"/>
    </xf>
    <xf numFmtId="49" fontId="18" fillId="0" borderId="1" xfId="0">
      <alignment vertical="top"/>
    </xf>
    <xf numFmtId="49" fontId="15" fillId="0" borderId="1" xfId="0">
      <alignment vertical="top"/>
    </xf>
    <xf numFmtId="3" fontId="125" fillId="0" borderId="1" xfId="0">
      <alignment vertical="top"/>
    </xf>
    <xf numFmtId="3" fontId="126" fillId="0" borderId="1" xfId="0">
      <alignment vertical="top"/>
    </xf>
    <xf numFmtId="3" fontId="127" fillId="0" borderId="1" xfId="0">
      <alignment vertical="top"/>
    </xf>
    <xf numFmtId="3" fontId="128" fillId="0" borderId="1" xfId="0">
      <alignment vertical="top"/>
    </xf>
    <xf numFmtId="3" fontId="129" fillId="0" borderId="1" xfId="0">
      <alignment vertical="top"/>
    </xf>
    <xf numFmtId="49" fontId="14" fillId="35" borderId="1" xfId="0">
      <alignment vertical="top"/>
    </xf>
    <xf numFmtId="0" fontId="14" fillId="35" borderId="1" xfId="0">
      <alignment vertical="top"/>
    </xf>
    <xf numFmtId="49" fontId="15" fillId="21" borderId="83" xfId="0">
      <alignment vertical="top"/>
    </xf>
    <xf numFmtId="49" fontId="111" fillId="37" borderId="83" xfId="0">
      <alignment vertical="top"/>
    </xf>
    <xf numFmtId="49" fontId="130" fillId="37" borderId="83" xfId="0">
      <alignment vertical="top"/>
    </xf>
    <xf numFmtId="49" fontId="131" fillId="37" borderId="83" xfId="0">
      <alignment vertical="top"/>
    </xf>
    <xf numFmtId="49" fontId="14" fillId="38" borderId="1" xfId="0">
      <alignment vertical="top"/>
    </xf>
    <xf numFmtId="0" fontId="14" fillId="38" borderId="1" xfId="0">
      <alignment vertical="top"/>
    </xf>
    <xf numFmtId="49" fontId="15" fillId="20" borderId="83" xfId="0">
      <alignment vertical="top"/>
    </xf>
    <xf numFmtId="49" fontId="111" fillId="0" borderId="83" xfId="0">
      <alignment vertical="top"/>
    </xf>
    <xf numFmtId="49" fontId="130" fillId="0" borderId="83" xfId="0">
      <alignment vertical="top"/>
    </xf>
    <xf numFmtId="49" fontId="132" fillId="0" borderId="83" xfId="0">
      <alignment vertical="top"/>
    </xf>
    <xf numFmtId="49" fontId="14" fillId="2" borderId="1" xfId="0">
      <alignment vertical="top"/>
    </xf>
    <xf numFmtId="49" fontId="15" fillId="18" borderId="83" xfId="0">
      <alignment vertical="top"/>
    </xf>
    <xf numFmtId="49" fontId="150" fillId="0" borderId="83" xfId="0">
      <alignment vertical="top"/>
    </xf>
    <xf numFmtId="49" fontId="57" fillId="0" borderId="83" xfId="0">
      <alignment vertical="top"/>
    </xf>
    <xf numFmtId="49" fontId="131" fillId="0" borderId="83" xfId="0">
      <alignment vertical="top"/>
    </xf>
    <xf numFmtId="49" fontId="14" fillId="39" borderId="1" xfId="0">
      <alignment vertical="top"/>
    </xf>
    <xf numFmtId="0" fontId="14" fillId="39" borderId="1" xfId="0">
      <alignment vertical="top"/>
    </xf>
    <xf numFmtId="49" fontId="15" fillId="23" borderId="67" xfId="0">
      <alignment vertical="top"/>
    </xf>
    <xf numFmtId="49" fontId="150" fillId="25" borderId="1" xfId="0">
      <alignment vertical="top"/>
    </xf>
    <xf numFmtId="49" fontId="150" fillId="20" borderId="1" xfId="0">
      <alignment vertical="top"/>
    </xf>
    <xf numFmtId="49" fontId="150" fillId="21" borderId="1" xfId="0">
      <alignment vertical="top"/>
    </xf>
    <xf numFmtId="49" fontId="150" fillId="37" borderId="1" xfId="0">
      <alignment vertical="top"/>
    </xf>
    <xf numFmtId="49" fontId="14" fillId="40" borderId="1" xfId="0">
      <alignment vertical="top"/>
    </xf>
    <xf numFmtId="0" fontId="14" fillId="40" borderId="1" xfId="0">
      <alignment vertical="top"/>
    </xf>
    <xf numFmtId="49" fontId="15" fillId="19" borderId="67" xfId="0">
      <alignment vertical="top"/>
    </xf>
    <xf numFmtId="49" fontId="150" fillId="41" borderId="1" xfId="0">
      <alignment vertical="top"/>
    </xf>
    <xf numFmtId="49" fontId="14" fillId="42" borderId="1" xfId="0">
      <alignment vertical="top"/>
    </xf>
    <xf numFmtId="0" fontId="14" fillId="42" borderId="1" xfId="0">
      <alignment vertical="top"/>
    </xf>
    <xf numFmtId="49" fontId="15" fillId="22" borderId="1" xfId="0">
      <alignment vertical="top"/>
    </xf>
    <xf numFmtId="49" fontId="133" fillId="0" borderId="1" xfId="0">
      <alignment vertical="top"/>
    </xf>
    <xf numFmtId="49" fontId="134" fillId="0" borderId="1" xfId="0">
      <alignment vertical="top"/>
    </xf>
    <xf numFmtId="49" fontId="135" fillId="0" borderId="1" xfId="0">
      <alignment vertical="top"/>
    </xf>
    <xf numFmtId="49" fontId="42" fillId="0" borderId="1" xfId="0">
      <alignment vertical="top"/>
    </xf>
    <xf numFmtId="49" fontId="15" fillId="18" borderId="67" xfId="0">
      <alignment vertical="top"/>
    </xf>
    <xf numFmtId="49" fontId="15" fillId="23" borderId="1" xfId="0">
      <alignment vertical="top"/>
    </xf>
    <xf numFmtId="49" fontId="15" fillId="21" borderId="1" xfId="0">
      <alignment vertical="top"/>
    </xf>
    <xf numFmtId="49" fontId="15" fillId="19" borderId="1" xfId="0">
      <alignment vertical="top"/>
    </xf>
    <xf numFmtId="49" fontId="136" fillId="35" borderId="1" xfId="0">
      <alignment horizontal="center" vertical="top"/>
    </xf>
    <xf numFmtId="49" fontId="136" fillId="38" borderId="1" xfId="0">
      <alignment horizontal="center" vertical="top"/>
    </xf>
    <xf numFmtId="49" fontId="136" fillId="43" borderId="1" xfId="0">
      <alignment horizontal="center" vertical="top"/>
    </xf>
    <xf numFmtId="49" fontId="111" fillId="37" borderId="1" xfId="0">
      <alignment vertical="top"/>
    </xf>
    <xf numFmtId="49" fontId="30" fillId="2" borderId="1" xfId="0">
      <alignment vertical="top"/>
    </xf>
    <xf numFmtId="0" fontId="30" fillId="2" borderId="1" xfId="0">
      <alignment vertical="top"/>
    </xf>
    <xf numFmtId="49" fontId="23" fillId="25" borderId="1" xfId="0">
      <alignment vertical="top"/>
    </xf>
    <xf numFmtId="0" fontId="23" fillId="25" borderId="1" xfId="0">
      <alignment vertical="top"/>
    </xf>
    <xf numFmtId="49" fontId="136" fillId="44" borderId="1" xfId="0">
      <alignment horizontal="center" vertical="top"/>
    </xf>
    <xf numFmtId="49" fontId="23" fillId="20" borderId="1" xfId="0">
      <alignment vertical="top"/>
    </xf>
    <xf numFmtId="0" fontId="23" fillId="20" borderId="1" xfId="0">
      <alignment vertical="top"/>
    </xf>
    <xf numFmtId="49" fontId="137" fillId="36" borderId="1" xfId="0">
      <alignment horizontal="center" vertical="top"/>
    </xf>
    <xf numFmtId="49" fontId="23" fillId="21" borderId="1" xfId="0">
      <alignment vertical="top"/>
    </xf>
    <xf numFmtId="0" fontId="23" fillId="21" borderId="1" xfId="0">
      <alignment vertical="top"/>
    </xf>
    <xf numFmtId="49" fontId="23" fillId="41" borderId="1" xfId="0">
      <alignment vertical="top"/>
    </xf>
    <xf numFmtId="0" fontId="23" fillId="41" borderId="1" xfId="0">
      <alignment vertical="top"/>
    </xf>
    <xf numFmtId="49" fontId="41" fillId="2" borderId="1" xfId="0">
      <alignment vertical="top"/>
    </xf>
    <xf numFmtId="0" fontId="41" fillId="2" borderId="1" xfId="0">
      <alignment vertical="top"/>
    </xf>
    <xf numFmtId="49" fontId="15" fillId="18" borderId="1" xfId="0">
      <alignment vertical="top"/>
    </xf>
    <xf numFmtId="3" fontId="10" fillId="0" borderId="1" xfId="0">
      <alignment vertical="top"/>
    </xf>
    <xf numFmtId="3" fontId="138" fillId="0" borderId="1" xfId="0">
      <alignment vertical="top"/>
    </xf>
    <xf numFmtId="3" fontId="139" fillId="0" borderId="1" xfId="0">
      <alignment vertical="top"/>
    </xf>
    <xf numFmtId="3" fontId="140" fillId="0" borderId="1" xfId="0">
      <alignment vertical="top"/>
    </xf>
    <xf numFmtId="3" fontId="141" fillId="0" borderId="1" xfId="0">
      <alignment vertical="top"/>
    </xf>
    <xf numFmtId="49" fontId="142" fillId="0" borderId="1" xfId="0">
      <alignment vertical="top"/>
    </xf>
    <xf numFmtId="49" fontId="15" fillId="18" borderId="1" xfId="0">
      <alignment horizontal="center" vertical="top"/>
    </xf>
    <xf numFmtId="9" fontId="150" fillId="0" borderId="1" xfId="0">
      <alignment vertical="top"/>
    </xf>
    <xf numFmtId="3" fontId="23" fillId="20" borderId="68" xfId="0">
      <alignment vertical="top"/>
    </xf>
    <xf numFmtId="9" fontId="23" fillId="20" borderId="68" xfId="0">
      <alignment vertical="top"/>
    </xf>
    <xf numFmtId="49" fontId="15" fillId="19" borderId="1" xfId="0">
      <alignment horizontal="center" vertical="top"/>
    </xf>
    <xf numFmtId="3" fontId="150" fillId="25" borderId="1" xfId="0">
      <alignment vertical="top"/>
    </xf>
    <xf numFmtId="49" fontId="150" fillId="23" borderId="1" xfId="0">
      <alignment vertical="top"/>
    </xf>
    <xf numFmtId="3" fontId="150" fillId="23" borderId="1" xfId="0">
      <alignment vertical="top"/>
    </xf>
    <xf numFmtId="3" fontId="150" fillId="20" borderId="1" xfId="0">
      <alignment vertical="top"/>
    </xf>
    <xf numFmtId="3" fontId="150" fillId="41" borderId="1" xfId="0">
      <alignment vertical="top"/>
    </xf>
    <xf numFmtId="49" fontId="15" fillId="21" borderId="67" xfId="0">
      <alignment vertical="top"/>
    </xf>
    <xf numFmtId="49" fontId="143" fillId="0" borderId="1" xfId="0">
      <alignment vertical="top"/>
    </xf>
    <xf numFmtId="49" fontId="15" fillId="41" borderId="1" xfId="0">
      <alignment vertical="top"/>
    </xf>
    <xf numFmtId="49" fontId="15" fillId="41" borderId="1" xfId="0">
      <alignment horizontal="center" vertical="top"/>
    </xf>
    <xf numFmtId="37858" fontId="150" fillId="41" borderId="1" xfId="0">
      <alignment vertical="top"/>
    </xf>
    <xf numFmtId="37858" fontId="150" fillId="20" borderId="1" xfId="0">
      <alignment vertical="top"/>
    </xf>
    <xf numFmtId="37858" fontId="150" fillId="25" borderId="1" xfId="0">
      <alignment vertical="top"/>
    </xf>
    <xf numFmtId="49" fontId="23" fillId="24" borderId="68" xfId="0">
      <alignment vertical="top"/>
    </xf>
    <xf numFmtId="37858" fontId="23" fillId="24" borderId="68" xfId="0">
      <alignment vertical="top"/>
    </xf>
    <xf numFmtId="0" fontId="15" fillId="23" borderId="1" xfId="0">
      <alignment vertical="top"/>
    </xf>
    <xf numFmtId="49" fontId="15" fillId="25" borderId="1" xfId="0">
      <alignment vertical="top"/>
    </xf>
    <xf numFmtId="49" fontId="15" fillId="20" borderId="1" xfId="0">
      <alignment vertical="top"/>
    </xf>
    <xf numFmtId="3" fontId="144" fillId="45" borderId="1" xfId="0">
      <alignment vertical="top"/>
    </xf>
    <xf numFmtId="49" fontId="41" fillId="2" borderId="1" xfId="0">
      <alignment horizontal="center" vertical="top"/>
    </xf>
    <xf numFmtId="37858" fontId="156" fillId="0" borderId="1" xfId="0">
      <alignment vertical="top"/>
    </xf>
    <xf numFmtId="49" fontId="23" fillId="0" borderId="68" xfId="0">
      <alignment vertical="top"/>
    </xf>
    <xf numFmtId="37858" fontId="146" fillId="0" borderId="68" xfId="0">
      <alignment vertical="top"/>
    </xf>
    <xf numFmtId="37858" fontId="23" fillId="0" borderId="68" xfId="0">
      <alignment vertical="top"/>
    </xf>
    <xf numFmtId="37859" fontId="23" fillId="0" borderId="68" xfId="0">
      <alignment vertical="top"/>
    </xf>
    <xf numFmtId="0" fontId="23" fillId="0" borderId="68" xfId="0">
      <alignment vertical="top"/>
    </xf>
    <xf numFmtId="49" fontId="23" fillId="19" borderId="1" xfId="0">
      <alignment vertical="top"/>
    </xf>
    <xf numFmtId="37858" fontId="146" fillId="19" borderId="1" xfId="0">
      <alignment vertical="top"/>
    </xf>
    <xf numFmtId="37858" fontId="23" fillId="19" borderId="1" xfId="0">
      <alignment vertical="top"/>
    </xf>
    <xf numFmtId="37859" fontId="23" fillId="19" borderId="1" xfId="0">
      <alignment vertical="top"/>
    </xf>
    <xf numFmtId="49" fontId="23" fillId="23" borderId="1" xfId="0">
      <alignment vertical="top"/>
    </xf>
    <xf numFmtId="0" fontId="23" fillId="23" borderId="1" xfId="0">
      <alignment vertical="top"/>
    </xf>
    <xf numFmtId="37858" fontId="157" fillId="0" borderId="1" xfId="0">
      <alignment vertical="top"/>
    </xf>
    <xf numFmtId="49" fontId="41" fillId="46" borderId="1" xfId="0">
      <alignment vertical="top"/>
    </xf>
    <xf numFmtId="0" fontId="41" fillId="46" borderId="1" xfId="0">
      <alignment vertical="top"/>
    </xf>
    <xf numFmtId="37858" fontId="101" fillId="25" borderId="1" xfId="0">
      <alignment vertical="top"/>
    </xf>
    <xf numFmtId="37858" fontId="17" fillId="25" borderId="1" xfId="0">
      <alignment vertical="top"/>
    </xf>
    <xf numFmtId="49" fontId="41" fillId="42" borderId="1" xfId="0">
      <alignment vertical="top"/>
    </xf>
    <xf numFmtId="0" fontId="41" fillId="42" borderId="1" xfId="0">
      <alignment vertical="top"/>
    </xf>
    <xf numFmtId="49" fontId="15" fillId="24" borderId="1" xfId="0">
      <alignment vertical="top"/>
    </xf>
    <xf numFmtId="49" fontId="41" fillId="43" borderId="1" xfId="0">
      <alignment vertical="top"/>
    </xf>
    <xf numFmtId="0" fontId="41" fillId="43" borderId="1" xfId="0">
      <alignment vertical="top"/>
    </xf>
    <xf numFmtId="49" fontId="41" fillId="39" borderId="1" xfId="0">
      <alignment vertical="top"/>
    </xf>
    <xf numFmtId="0" fontId="41" fillId="39" borderId="1" xfId="0">
      <alignment vertical="top"/>
    </xf>
    <xf numFmtId="49" fontId="16" fillId="0" borderId="1" xfId="0">
      <alignment vertical="top"/>
    </xf>
    <xf numFmtId="37859" fontId="148" fillId="45" borderId="1" xfId="0">
      <alignment vertical="top"/>
    </xf>
    <xf numFmtId="37910" fontId="148" fillId="45" borderId="1" xfId="0">
      <alignment vertical="top"/>
    </xf>
    <xf numFmtId="37910" fontId="23" fillId="19" borderId="1" xfId="0">
      <alignment vertical="top"/>
    </xf>
    <xf numFmtId="3" fontId="23" fillId="18" borderId="1" xfId="0">
      <alignment vertical="top"/>
    </xf>
    <xf numFmtId="37910" fontId="23" fillId="18" borderId="1" xfId="0">
      <alignment vertical="top"/>
    </xf>
    <xf numFmtId="37859" fontId="23" fillId="18" borderId="1" xfId="0">
      <alignment vertical="top"/>
    </xf>
    <xf numFmtId="37858" fontId="23" fillId="25" borderId="1" xfId="0">
      <alignment vertical="top"/>
    </xf>
    <xf numFmtId="37860" fontId="150" fillId="0" borderId="1" xfId="0">
      <alignment vertical="top"/>
    </xf>
    <xf numFmtId="49" fontId="23" fillId="18" borderId="1" xfId="0">
      <alignment vertical="top"/>
    </xf>
    <xf numFmtId="0" fontId="23" fillId="18" borderId="1" xfId="0">
      <alignment vertical="top"/>
    </xf>
    <xf numFmtId="9" fontId="15" fillId="18" borderId="1" xfId="0">
      <alignment horizontal="center" vertical="top"/>
    </xf>
    <xf numFmtId="9" fontId="15" fillId="19" borderId="1" xfId="0">
      <alignment vertical="top"/>
    </xf>
    <xf numFmtId="3" fontId="23" fillId="45" borderId="1" xfId="0">
      <alignment vertical="top"/>
    </xf>
    <xf numFmtId="49" fontId="131" fillId="0" borderId="1" xfId="0">
      <alignment vertical="top"/>
    </xf>
    <xf numFmtId="49" fontId="57" fillId="0" borderId="1" xfId="0">
      <alignment vertical="top"/>
    </xf>
    <xf numFmtId="49" fontId="23" fillId="24" borderId="1" xfId="0">
      <alignment vertical="top"/>
    </xf>
    <xf numFmtId="49" fontId="14" fillId="46" borderId="1" xfId="0">
      <alignment vertical="top"/>
    </xf>
    <xf numFmtId="0" fontId="14" fillId="46" borderId="1" xfId="0">
      <alignment vertical="top"/>
    </xf>
    <xf numFmtId="0" fontId="23" fillId="24" borderId="1" xfId="0">
      <alignment vertical="top"/>
    </xf>
    <xf numFmtId="49" fontId="130" fillId="0" borderId="1" xfId="0">
      <alignment vertical="top"/>
    </xf>
    <xf numFmtId="49" fontId="15" fillId="25" borderId="1" xfId="0">
      <alignment horizontal="center" vertical="top"/>
    </xf>
    <xf numFmtId="49" fontId="149" fillId="0" borderId="1" xfId="0">
      <alignment vertical="top"/>
    </xf>
    <xf numFmtId="3" fontId="15" fillId="19" borderId="1" xfId="0">
      <alignment vertical="top"/>
    </xf>
    <xf numFmtId="0" fontId="8" fillId="2" borderId="1" xfId="0">
      <alignment vertical="top"/>
    </xf>
    <xf numFmtId="0" fontId="150" fillId="2" borderId="1" xfId="0">
      <alignment vertical="top"/>
    </xf>
    <xf numFmtId="0" fontId="17" fillId="47" borderId="1" xfId="0">
      <alignment vertical="top"/>
    </xf>
    <xf numFmtId="38038" fontId="150" fillId="0" borderId="1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styles" Target="styles.xml"/><Relationship Id="rId44" Type="http://schemas.openxmlformats.org/officeDocument/2006/relationships/theme" Target="theme/theme1.xml"/><Relationship Id="rId45" Type="http://schemas.openxmlformats.org/officeDocument/2006/relationships/sharedStrings" Target="sharedStrings.xml"/><Relationship Id="rId46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_rels/chart4.xml.rels><?xml version="1.0" encoding="UTF-8" standalone="yes"?>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</Relationships>
</file>

<file path=xl/charts/_rels/chart5.xml.rels><?xml version="1.0" encoding="UTF-8" standalone="yes"?>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</Relationships>
</file>

<file path=xl/charts/_rels/chart6.xml.rels><?xml version="1.0" encoding="UTF-8" standalone="yes"?>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sz="1050" b="0">
                <a:solidFill>
                  <a:srgbClr val="333333"/>
                </a:solidFill>
                <a:latin typeface="Arial"/>
              </a:rPr>
              <a:t>12-Month Net Cash Flow ($M)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lineChart chartType="8">
        <c:ser seriesType="2">
          <c:idx val="0"/>
          <c:order val="0"/>
          <c:spPr>
            <a:solidFill>
              <a:srgbClr val="1f4e79"/>
            </a:solidFill>
            <a:ln w="19050">
              <a:solidFill>
                <a:srgbClr val="1f4e79"/>
              </a:solidFill>
              <a:prstDash val="solid"/>
            </a:ln>
          </c:spPr>
          <c:cat>
            <c:strRef>
              <c:f>Monthly_Board_Pack!$B$35:$B$47</c:f>
            </c:strRef>
          </c:cat>
          <c:val>
            <c:numRef>
              <c:f>Monthly_Board_Pack!$C$35:$C$47</c:f>
              <c:numCache>
                <c:formatCode>General</c:formatCode>
              </c:numCache>
            </c:numRef>
          </c:val>
          <c:extLst/>
          <c:smooth val="0"/>
          <c:marker>
            <c:symbol val="none"/>
            <c:spPr/>
          </c:marker>
        </c:ser>
        <c:axId val="20643350"/>
        <c:axId val="58724674"/>
        <c:grouping val="standard"/>
        <c:varyColors val="0"/>
        <c:smooth val="0"/>
        <c:marker val="0"/>
      </c:lineChart>
      <c:catAx axisType="0">
        <c:axId val="20643350"/>
        <c:delete val="0"/>
        <c:majorTickMark val="none"/>
        <c:minorTickMark val="none"/>
        <c:tickLblPos val="nextTo"/>
        <c:axPos val="b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rgbClr val="595959"/>
                </a:solidFill>
                <a:latin typeface="Calibri"/>
              </a:defRPr>
            </a:pPr>
            <a:r>
              <a:rPr sz="900" b="0">
                <a:solidFill>
                  <a:srgbClr val="595959"/>
                </a:solidFill>
                <a:latin typeface="Calibri"/>
              </a:rPr>
              <a:t/>
            </a:r>
            <a:endParaRPr/>
          </a:p>
        </c:txPr>
        <c:auto val="1"/>
        <c:lblOffset val="0"/>
        <c:tickMarkSkip val="1"/>
        <c:noMultiLvlLbl val="1"/>
        <c:crosses val="autoZero"/>
        <c:crossAx val="58724674"/>
      </c:catAx>
      <c:valAx axisType="3">
        <c:axId val="58724674"/>
        <c:delete val="0"/>
        <c:majorTickMark val="none"/>
        <c:minorTickMark val="none"/>
        <c:tickLblPos val="nextTo"/>
        <c:title>
          <c:tx>
            <c:rich>
              <a:bodyPr/>
              <a:p>
                <a:pPr>
                  <a:defRPr b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</a:defRPr>
                </a:pPr>
                <a:r>
                  <a:rPr b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</a:rPr>
                  <a:t>Cash Flow ($M)</a:t>
                </a:r>
                <a:endParaRPr/>
              </a:p>
            </c:rich>
          </c:tx>
          <c:overlay val="0"/>
        </c:title>
        <c:axPos val="l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rgbClr val="595959"/>
                </a:solidFill>
                <a:latin typeface="Calibri"/>
              </a:defRPr>
            </a:pPr>
            <a:r>
              <a:rPr sz="900" b="0">
                <a:solidFill>
                  <a:srgbClr val="595959"/>
                </a:solidFill>
                <a:latin typeface="Calibri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between"/>
        <c:crossAx val="20643350"/>
      </c:valAx>
      <c:spPr>
        <a:noFill/>
        <a:ln>
          <a:noFill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r>
        <a:rPr b="0">
          <a:solidFill>
            <a:schemeClr val="tx1">
              <a:lumMod val="65000"/>
              <a:lumOff val="35000"/>
            </a:schemeClr>
          </a:solidFill>
          <a:latin typeface="+mn-lt"/>
        </a:rPr>
        <a:t/>
      </a:r>
      <a:endParaRPr/>
    </a:p>
  </c:txPr>
</c:chartSpace>
</file>

<file path=xl/charts/chart2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sz="1050" b="0">
                <a:solidFill>
                  <a:srgbClr val="333333"/>
                </a:solidFill>
                <a:latin typeface="Arial"/>
              </a:rPr>
              <a:t>Occupancy by Floorplan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barChart chartType="6">
        <c:ser seriesType="0">
          <c:idx val="0"/>
          <c:order val="0"/>
          <c:spPr>
            <a:solidFill>
              <a:srgbClr val="2e7d32"/>
            </a:solidFill>
            <a:ln w="0">
              <a:noFill/>
              <a:prstDash val="solid"/>
            </a:ln>
          </c:spPr>
          <c:cat>
            <c:strRef>
              <c:f>Monthly_Board_Pack!$I$35:$I$42</c:f>
            </c:strRef>
          </c:cat>
          <c:val>
            <c:numRef>
              <c:f>Monthly_Board_Pack!$J$35:$J$42</c:f>
              <c:numCache>
                <c:formatCode>General</c:formatCode>
              </c:numCache>
            </c:numRef>
          </c:val>
          <c:extLst/>
          <c:invertIfNegative val="0"/>
        </c:ser>
        <c:axId val="13873255"/>
        <c:axId val="66539508"/>
        <c:barDir val="bar"/>
        <c:grouping val="clustered"/>
        <c:gapWidth val="182"/>
        <c:varyColors val="0"/>
        <c:overlap val="0"/>
      </c:barChart>
      <c:catAx axisType="0">
        <c:axId val="13873255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rgbClr val="595959"/>
                </a:solidFill>
                <a:latin typeface="Calibri"/>
              </a:defRPr>
            </a:pPr>
            <a:r>
              <a:rPr sz="900" b="0">
                <a:solidFill>
                  <a:srgbClr val="595959"/>
                </a:solidFill>
                <a:latin typeface="Calibri"/>
              </a:rPr>
              <a:t/>
            </a:r>
            <a:endParaRPr/>
          </a:p>
        </c:txPr>
        <c:auto val="1"/>
        <c:lblOffset val="0"/>
        <c:tickMarkSkip val="1"/>
        <c:noMultiLvlLbl val="1"/>
        <c:crosses val="autoZero"/>
        <c:crossAx val="66539508"/>
      </c:catAx>
      <c:valAx axisType="3">
        <c:axId val="66539508"/>
        <c:delete val="0"/>
        <c:majorTickMark val="none"/>
        <c:minorTickMark val="none"/>
        <c:tickLblPos val="nextTo"/>
        <c:title>
          <c:tx>
            <c:rich>
              <a:bodyPr/>
              <a:p>
                <a:pPr>
                  <a:defRPr b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</a:defRPr>
                </a:pPr>
                <a:r>
                  <a:rPr b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</a:rPr>
                  <a:t>Occupancy %</a:t>
                </a:r>
                <a:endParaRPr/>
              </a:p>
            </c:rich>
          </c:tx>
          <c:overlay val="0"/>
        </c:title>
        <c:axPos val="l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rgbClr val="595959"/>
                </a:solidFill>
                <a:latin typeface="Calibri"/>
              </a:defRPr>
            </a:pPr>
            <a:r>
              <a:rPr sz="900" b="0">
                <a:solidFill>
                  <a:srgbClr val="595959"/>
                </a:solidFill>
                <a:latin typeface="Calibri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between"/>
        <c:crossAx val="13873255"/>
      </c:valAx>
      <c:spPr>
        <a:noFill/>
        <a:ln>
          <a:noFill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r>
        <a:rPr b="0">
          <a:solidFill>
            <a:schemeClr val="tx1">
              <a:lumMod val="65000"/>
              <a:lumOff val="35000"/>
            </a:schemeClr>
          </a:solidFill>
          <a:latin typeface="+mn-lt"/>
        </a:rPr>
        <a:t/>
      </a:r>
      <a:endParaRPr/>
    </a:p>
  </c:txPr>
</c:chartSpace>
</file>

<file path=xl/charts/chart3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sz="1050" b="0">
                <a:solidFill>
                  <a:srgbClr val="333333"/>
                </a:solidFill>
                <a:latin typeface="Arial"/>
              </a:rPr>
              <a:t>Marketing Funnel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barChart chartType="6">
        <c:ser seriesType="0">
          <c:idx val="0"/>
          <c:order val="0"/>
          <c:spPr>
            <a:solidFill>
              <a:srgbClr val="7b1fa2"/>
            </a:solidFill>
            <a:ln w="0">
              <a:noFill/>
              <a:prstDash val="solid"/>
            </a:ln>
          </c:spPr>
          <c:cat>
            <c:strRef>
              <c:f>Monthly_Board_Pack!$B$51:$B$55</c:f>
            </c:strRef>
          </c:cat>
          <c:val>
            <c:numRef>
              <c:f>Monthly_Board_Pack!$C$51:$C$55</c:f>
              <c:numCache>
                <c:formatCode>General</c:formatCode>
              </c:numCache>
            </c:numRef>
          </c:val>
          <c:extLst/>
          <c:invertIfNegative val="0"/>
        </c:ser>
        <c:axId val="54799508"/>
        <c:axId val="11116966"/>
        <c:barDir val="col"/>
        <c:grouping val="clustered"/>
        <c:gapWidth val="150"/>
        <c:varyColors val="0"/>
        <c:overlap val="-27"/>
      </c:barChart>
      <c:catAx axisType="0">
        <c:axId val="54799508"/>
        <c:delete val="0"/>
        <c:majorTickMark val="none"/>
        <c:minorTickMark val="none"/>
        <c:tickLblPos val="nextTo"/>
        <c:axPos val="b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rgbClr val="595959"/>
                </a:solidFill>
                <a:latin typeface="Calibri"/>
              </a:defRPr>
            </a:pPr>
            <a:r>
              <a:rPr sz="900" b="0">
                <a:solidFill>
                  <a:srgbClr val="595959"/>
                </a:solidFill>
                <a:latin typeface="Calibri"/>
              </a:rPr>
              <a:t/>
            </a:r>
            <a:endParaRPr/>
          </a:p>
        </c:txPr>
        <c:auto val="1"/>
        <c:lblOffset val="0"/>
        <c:tickMarkSkip val="1"/>
        <c:noMultiLvlLbl val="1"/>
        <c:crosses val="autoZero"/>
        <c:crossAx val="11116966"/>
      </c:catAx>
      <c:valAx axisType="3">
        <c:axId val="11116966"/>
        <c:delete val="0"/>
        <c:majorTickMark val="none"/>
        <c:minorTickMark val="none"/>
        <c:tickLblPos val="nextTo"/>
        <c:title>
          <c:tx>
            <c:rich>
              <a:bodyPr/>
              <a:p>
                <a:pPr>
                  <a:defRPr b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</a:defRPr>
                </a:pPr>
                <a:r>
                  <a:rPr b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</a:rPr>
                  <a:t>Count</a:t>
                </a:r>
                <a:endParaRPr/>
              </a:p>
            </c:rich>
          </c:tx>
          <c:overlay val="0"/>
        </c:title>
        <c:axPos val="l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rgbClr val="595959"/>
                </a:solidFill>
                <a:latin typeface="Calibri"/>
              </a:defRPr>
            </a:pPr>
            <a:r>
              <a:rPr sz="900" b="0">
                <a:solidFill>
                  <a:srgbClr val="595959"/>
                </a:solidFill>
                <a:latin typeface="Calibri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between"/>
        <c:crossAx val="54799508"/>
      </c:valAx>
      <c:spPr>
        <a:noFill/>
        <a:ln>
          <a:noFill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r>
        <a:rPr b="0">
          <a:solidFill>
            <a:schemeClr val="tx1">
              <a:lumMod val="65000"/>
              <a:lumOff val="35000"/>
            </a:schemeClr>
          </a:solidFill>
          <a:latin typeface="+mn-lt"/>
        </a:rPr>
        <a:t/>
      </a:r>
      <a:endParaRPr/>
    </a:p>
  </c:txPr>
</c:chartSpace>
</file>

<file path=xl/charts/chart4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sz="1050" b="0">
                <a:solidFill>
                  <a:srgbClr val="333333"/>
                </a:solidFill>
                <a:latin typeface="Arial"/>
              </a:rPr>
              <a:t>Revenue by Channel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pieChart chartType="10">
        <c:ser seriesType="3">
          <c:dPt>
            <c:idx val="0"/>
            <c:invertIfNegative val="0"/>
            <c:spPr>
              <a:solidFill>
                <a:srgbClr val="1f4e79"/>
              </a:solidFill>
              <a:ln w="19050">
                <a:solidFill>
                  <a:srgbClr val="ffffff"/>
                </a:solidFill>
                <a:prstDash val="solid"/>
              </a:ln>
            </c:spPr>
            <c:marker>
              <c:spPr/>
              <c:size val="5"/>
              <c:symbol val="none"/>
            </c:marker>
          </c:dPt>
          <c:dPt>
            <c:idx val="1"/>
            <c:invertIfNegative val="0"/>
            <c:spPr>
              <a:solidFill>
                <a:srgbClr val="2e7d32"/>
              </a:solidFill>
              <a:ln w="19050">
                <a:solidFill>
                  <a:srgbClr val="ffffff"/>
                </a:solidFill>
                <a:prstDash val="solid"/>
              </a:ln>
            </c:spPr>
            <c:marker>
              <c:spPr/>
              <c:size val="5"/>
              <c:symbol val="none"/>
            </c:marker>
          </c:dPt>
          <c:dPt>
            <c:idx val="2"/>
            <c:invertIfNegative val="0"/>
            <c:spPr>
              <a:solidFill>
                <a:srgbClr val="f57c00"/>
              </a:solidFill>
              <a:ln w="19050">
                <a:solidFill>
                  <a:srgbClr val="ffffff"/>
                </a:solidFill>
                <a:prstDash val="solid"/>
              </a:ln>
            </c:spPr>
            <c:marker>
              <c:spPr/>
              <c:size val="5"/>
              <c:symbol val="none"/>
            </c:marker>
          </c:dPt>
          <c:dPt>
            <c:idx val="3"/>
            <c:invertIfNegative val="0"/>
            <c:spPr>
              <a:solidFill>
                <a:srgbClr val="7b1fa2"/>
              </a:solidFill>
              <a:ln w="19050">
                <a:solidFill>
                  <a:srgbClr val="ffffff"/>
                </a:solidFill>
                <a:prstDash val="solid"/>
              </a:ln>
            </c:spPr>
            <c:marker>
              <c:spPr/>
              <c:size val="5"/>
              <c:symbol val="none"/>
            </c:marker>
          </c:dPt>
          <c:dPt>
            <c:idx val="4"/>
            <c:invertIfNegative val="0"/>
            <c:spPr>
              <a:solidFill>
                <a:srgbClr val="c62828"/>
              </a:solidFill>
              <a:ln w="19050">
                <a:solidFill>
                  <a:srgbClr val="ffffff"/>
                </a:solidFill>
                <a:prstDash val="solid"/>
              </a:ln>
            </c:spPr>
            <c:marker>
              <c:spPr/>
              <c:size val="5"/>
              <c:symbol val="none"/>
            </c:marker>
          </c:dPt>
          <c:dPt>
            <c:idx val="5"/>
            <c:invertIfNegative val="0"/>
            <c:spPr>
              <a:solidFill>
                <a:schemeClr val="accent6"/>
              </a:solidFill>
              <a:ln w="19050">
                <a:solidFill>
                  <a:srgbClr val="ffffff"/>
                </a:solidFill>
                <a:prstDash val="solid"/>
              </a:ln>
            </c:spPr>
            <c:marker>
              <c:spPr/>
              <c:size val="5"/>
              <c:symbol val="none"/>
            </c:marker>
          </c:dPt>
          <c:idx val="0"/>
          <c:order val="0"/>
          <c:spPr>
            <a:ln w="19050">
              <a:solidFill>
                <a:srgbClr val="ffffff"/>
              </a:solidFill>
            </a:ln>
          </c:spPr>
          <c:cat>
            <c:strRef>
              <c:f>Monthly_Board_Pack!$I$51:$I$56</c:f>
            </c:strRef>
          </c:cat>
          <c:val>
            <c:numRef>
              <c:f>Monthly_Board_Pack!$J$51:$J$56</c:f>
              <c:numCache>
                <c:formatCode>General</c:formatCode>
              </c:numCache>
            </c:numRef>
          </c:val>
          <c:dLbls>
            <c:dLbl>
              <c:layout/>
              <c:dLblPos val="ctr"/>
              <c:showLeaderLines val="1"/>
              <c:showBubbleSize val="0"/>
              <c:showLegendKey val="0"/>
              <c:showPercent val="1"/>
              <c:showCatName val="0"/>
              <c:showSerName val="0"/>
              <c:showVal val="1"/>
              <c:separator>, </c:separator>
              <c:idx val="0"/>
            </c:dLbl>
            <c:spPr>
              <a:noFill/>
              <a:ln>
                <a:noFill/>
              </a:ln>
            </c:spPr>
            <c:dLblPos val="ctr"/>
            <c:showLeaderLines val="1"/>
            <c:showBubbleSize val="0"/>
            <c:showLegendKey val="0"/>
            <c:showPercent val="1"/>
            <c:showCatName val="0"/>
            <c:showSerName val="0"/>
            <c:showVal val="1"/>
            <c:separator>,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xtLst/>
          <c:explosion val="0"/>
        </c:ser>
        <c:varyColors val="1"/>
        <c:firstSliceAng val="0"/>
      </c:pieChart>
      <c:spPr>
        <a:noFill/>
        <a:ln>
          <a:noFill/>
        </a:ln>
      </c:spPr>
    </c:plotArea>
    <c:legend>
      <c:legendPos val="r"/>
      <c:overlay val="0"/>
      <c:spPr>
        <a:noFill/>
      </c:spPr>
      <c:txPr>
        <a:bodyPr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r>
            <a: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rPr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r>
        <a:rPr b="0">
          <a:solidFill>
            <a:schemeClr val="tx1">
              <a:lumMod val="65000"/>
              <a:lumOff val="35000"/>
            </a:schemeClr>
          </a:solidFill>
          <a:latin typeface="+mn-lt"/>
        </a:rPr>
        <a:t/>
      </a:r>
      <a:endParaRPr/>
    </a:p>
  </c:txPr>
</c:chartSpace>
</file>

<file path=xl/charts/chart5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sz="1050" b="0">
                <a:solidFill>
                  <a:srgbClr val="333333"/>
                </a:solidFill>
                <a:latin typeface="Arial"/>
              </a:rPr>
              <a:t>Lease Expirations by Month (24-Month Outlook)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barChart chartType="6">
        <c:ser seriesType="0">
          <c:idx val="0"/>
          <c:order val="0"/>
          <c:tx>
            <c:strRef>
              <c:f>FIN_03_Rent_Roll!$B$7</c:f>
            </c:strRef>
          </c:tx>
          <c:spPr>
            <a:solidFill>
              <a:srgbClr val="1f4e79"/>
            </a:solidFill>
            <a:ln w="0">
              <a:noFill/>
              <a:prstDash val="solid"/>
            </a:ln>
          </c:spPr>
          <c:cat>
            <c:strRef>
              <c:f>FIN_03_Rent_Roll!$A$8:$A$31</c:f>
            </c:strRef>
          </c:cat>
          <c:val>
            <c:numRef>
              <c:f>FIN_03_Rent_Roll!$B$8:$B$31</c:f>
              <c:numCache>
                <c:formatCode>#,##0</c:formatCode>
              </c:numCache>
            </c:numRef>
          </c:val>
          <c:extLst/>
          <c:invertIfNegative val="0"/>
        </c:ser>
        <c:axId val="63491797"/>
        <c:axId val="59976206"/>
        <c:barDir val="col"/>
        <c:grouping val="clustered"/>
        <c:gapWidth val="150"/>
        <c:varyColors val="0"/>
        <c:overlap val="-27"/>
      </c:barChart>
      <c:catAx axisType="0">
        <c:axId val="63491797"/>
        <c:delete val="0"/>
        <c:majorTickMark val="none"/>
        <c:minorTickMark val="none"/>
        <c:tickLblPos val="nextTo"/>
        <c:axPos val="b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rgbClr val="595959"/>
                </a:solidFill>
                <a:latin typeface="Calibri"/>
              </a:defRPr>
            </a:pPr>
            <a:r>
              <a:rPr sz="900" b="0">
                <a:solidFill>
                  <a:srgbClr val="595959"/>
                </a:solidFill>
                <a:latin typeface="Calibri"/>
              </a:rPr>
              <a:t/>
            </a:r>
            <a:endParaRPr/>
          </a:p>
        </c:txPr>
        <c:auto val="1"/>
        <c:lblOffset val="0"/>
        <c:tickMarkSkip val="1"/>
        <c:noMultiLvlLbl val="1"/>
        <c:crosses val="autoZero"/>
        <c:crossAx val="59976206"/>
      </c:catAx>
      <c:valAx axisType="3">
        <c:axId val="59976206"/>
        <c:delete val="0"/>
        <c:majorTickMark val="none"/>
        <c:minorTickMark val="none"/>
        <c:tickLblPos val="nextTo"/>
        <c:title>
          <c:tx>
            <c:rich>
              <a:bodyPr/>
              <a:p>
                <a:pPr>
                  <a:defRPr b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</a:defRPr>
                </a:pPr>
                <a:r>
                  <a:rPr b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</a:rPr>
                  <a:t>Units</a:t>
                </a:r>
                <a:endParaRPr/>
              </a:p>
            </c:rich>
          </c:tx>
          <c:overlay val="0"/>
        </c:title>
        <c:axPos val="l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#,##0"/>
        <c:txPr>
          <a:bodyPr/>
          <a:p>
            <a:pPr>
              <a:defRPr sz="900" b="0">
                <a:solidFill>
                  <a:srgbClr val="595959"/>
                </a:solidFill>
                <a:latin typeface="Calibri"/>
              </a:defRPr>
            </a:pPr>
            <a:r>
              <a:rPr sz="900" b="0">
                <a:solidFill>
                  <a:srgbClr val="595959"/>
                </a:solidFill>
                <a:latin typeface="Calibri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between"/>
        <c:crossAx val="63491797"/>
      </c:valAx>
      <c:spPr>
        <a:noFill/>
        <a:ln>
          <a:noFill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r>
        <a:rPr b="0">
          <a:solidFill>
            <a:schemeClr val="tx1">
              <a:lumMod val="65000"/>
              <a:lumOff val="35000"/>
            </a:schemeClr>
          </a:solidFill>
          <a:latin typeface="+mn-lt"/>
        </a:rPr>
        <a:t/>
      </a:r>
      <a:endParaRPr/>
    </a:p>
  </c:txPr>
</c:chartSpace>
</file>

<file path=xl/charts/chart6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sz="1050" b="0">
                <a:solidFill>
                  <a:srgbClr val="333333"/>
                </a:solidFill>
                <a:latin typeface="Arial"/>
              </a:rPr>
              <a:t>Revenue: Actual vs Budget vs Forecast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lineChart chartType="8">
        <c:ser seriesType="2">
          <c:idx val="0"/>
          <c:order val="0"/>
          <c:spPr>
            <a:ln w="19050"/>
          </c:spPr>
          <c:cat>
            <c:strRef>
              <c:f>Variance_Trends!$B$5:$N$5</c:f>
            </c:strRef>
          </c:cat>
          <c:val>
            <c:numRef>
              <c:f>Variance_Trends!$B$6:$N$6</c:f>
              <c:numCache>
                <c:formatCode>@</c:formatCode>
              </c:numCache>
            </c:numRef>
          </c:val>
          <c:extLst/>
          <c:smooth val="0"/>
          <c:marker>
            <c:symbol val="none"/>
            <c:spPr/>
          </c:marker>
        </c:ser>
        <c:ser seriesType="2">
          <c:idx val="1"/>
          <c:order val="1"/>
          <c:spPr>
            <a:ln w="19050"/>
          </c:spPr>
          <c:cat>
            <c:strRef>
              <c:f>Variance_Trends!$B$5:$N$5</c:f>
            </c:strRef>
          </c:cat>
          <c:val>
            <c:numRef>
              <c:f>Variance_Trends!$B$7:$N$7</c:f>
              <c:numCache>
                <c:formatCode>General</c:formatCode>
              </c:numCache>
            </c:numRef>
          </c:val>
          <c:extLst/>
          <c:smooth val="0"/>
          <c:marker>
            <c:symbol val="none"/>
            <c:spPr/>
          </c:marker>
        </c:ser>
        <c:axId val="40517887"/>
        <c:axId val="21185967"/>
        <c:grouping val="standard"/>
        <c:varyColors val="0"/>
        <c:smooth val="0"/>
        <c:marker val="0"/>
      </c:lineChart>
      <c:catAx axisType="0">
        <c:axId val="40517887"/>
        <c:delete val="0"/>
        <c:majorTickMark val="none"/>
        <c:minorTickMark val="none"/>
        <c:tickLblPos val="nextTo"/>
        <c:axPos val="b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@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auto val="1"/>
        <c:tickMarkSkip val="1"/>
        <c:noMultiLvlLbl val="1"/>
        <c:crosses val="autoZero"/>
        <c:crossAx val="21185967"/>
        <c:lblOffset val="0"/>
      </c:catAx>
      <c:valAx axisType="3">
        <c:axId val="21185967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@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between"/>
        <c:crossAx val="40517887"/>
      </c:valAx>
      <c:spPr>
        <a:noFill/>
        <a:ln>
          <a:noFill/>
        </a:ln>
      </c:spPr>
    </c:plotArea>
    <c:legend>
      <c:legendPos val="r"/>
      <c:overlay val="0"/>
      <c:spPr>
        <a:noFill/>
      </c:spPr>
      <c:txPr>
        <a:bodyPr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r>
            <a: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rPr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r>
        <a:rPr b="0">
          <a:solidFill>
            <a:schemeClr val="tx1">
              <a:lumMod val="65000"/>
              <a:lumOff val="35000"/>
            </a:schemeClr>
          </a:solidFill>
          <a:latin typeface="+mn-lt"/>
        </a:rPr>
        <a:t/>
      </a:r>
      <a:endParaRPr/>
    </a:p>
  </c:txPr>
</c:chartSpace>
</file>

<file path=xl/charts/colors1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2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3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4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5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6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35</xdr:row>
      <xdr:rowOff>0</xdr:rowOff>
    </xdr:from>
    <xdr:to>
      <xdr:col>5</xdr:col>
      <xdr:colOff>272143</xdr:colOff>
      <xdr:row>42</xdr:row>
      <xdr:rowOff>0</xdr:rowOff>
    </xdr:to>
    <xdr:graphicFrame>
      <xdr:nvGraphicFramePr>
        <xdr:cNvPr id="2" name="CashFlowTrend"/>
        <xdr:cNvGraphicFramePr>
          <a:graphicFrameLocks noChangeAspect="0"/>
        </xdr:cNvGraphicFramePr>
      </xdr:nvGraphicFramePr>
      <xdr:xfrm>
        <a:off x="1918607" y="7184571"/>
        <a:ext cx="1905000" cy="1143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35</xdr:row>
      <xdr:rowOff>0</xdr:rowOff>
    </xdr:from>
    <xdr:to>
      <xdr:col>12</xdr:col>
      <xdr:colOff>272143</xdr:colOff>
      <xdr:row>42</xdr:row>
      <xdr:rowOff>0</xdr:rowOff>
    </xdr:to>
    <xdr:graphicFrame>
      <xdr:nvGraphicFramePr>
        <xdr:cNvPr id="3" name="OccupancyByFloorplan"/>
        <xdr:cNvGraphicFramePr>
          <a:graphicFrameLocks noChangeAspect="0"/>
        </xdr:cNvGraphicFramePr>
      </xdr:nvGraphicFramePr>
      <xdr:xfrm>
        <a:off x="7633607" y="7184571"/>
        <a:ext cx="1905000" cy="1143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51</xdr:row>
      <xdr:rowOff>0</xdr:rowOff>
    </xdr:from>
    <xdr:to>
      <xdr:col>5</xdr:col>
      <xdr:colOff>272143</xdr:colOff>
      <xdr:row>57</xdr:row>
      <xdr:rowOff>136071</xdr:rowOff>
    </xdr:to>
    <xdr:graphicFrame>
      <xdr:nvGraphicFramePr>
        <xdr:cNvPr id="4" name="MarketingFunnel"/>
        <xdr:cNvGraphicFramePr>
          <a:graphicFrameLocks noChangeAspect="0"/>
        </xdr:cNvGraphicFramePr>
      </xdr:nvGraphicFramePr>
      <xdr:xfrm>
        <a:off x="1918607" y="9878786"/>
        <a:ext cx="1905000" cy="1143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51</xdr:row>
      <xdr:rowOff>0</xdr:rowOff>
    </xdr:from>
    <xdr:to>
      <xdr:col>12</xdr:col>
      <xdr:colOff>272143</xdr:colOff>
      <xdr:row>57</xdr:row>
      <xdr:rowOff>136071</xdr:rowOff>
    </xdr:to>
    <xdr:graphicFrame>
      <xdr:nvGraphicFramePr>
        <xdr:cNvPr id="5" name="ChannelAttribution"/>
        <xdr:cNvGraphicFramePr>
          <a:graphicFrameLocks noChangeAspect="0"/>
        </xdr:cNvGraphicFramePr>
      </xdr:nvGraphicFramePr>
      <xdr:xfrm>
        <a:off x="7633607" y="9878786"/>
        <a:ext cx="1905000" cy="1143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13</xdr:col>
      <xdr:colOff>514350</xdr:colOff>
      <xdr:row>23</xdr:row>
      <xdr:rowOff>0</xdr:rowOff>
    </xdr:to>
    <xdr:graphicFrame>
      <xdr:nvGraphicFramePr>
        <xdr:cNvPr id="2" name="LeaseExpirationChart"/>
        <xdr:cNvGraphicFramePr>
          <a:graphicFrameLocks noChangeAspect="0"/>
        </xdr:cNvGraphicFramePr>
      </xdr:nvGraphicFramePr>
      <xdr:xfrm>
        <a:off x="3105150" y="1381125"/>
        <a:ext cx="5238750" cy="304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95250</xdr:colOff>
      <xdr:row>0</xdr:row>
      <xdr:rowOff>0</xdr:rowOff>
    </xdr:from>
    <xdr:to>
      <xdr:col>22</xdr:col>
      <xdr:colOff>533400</xdr:colOff>
      <xdr:row>14</xdr:row>
      <xdr:rowOff>76200</xdr:rowOff>
    </xdr:to>
    <xdr:graphicFrame>
      <xdr:nvGraphicFramePr>
        <xdr:cNvPr id="2" name="RevenueTrendChart"/>
        <xdr:cNvGraphicFramePr>
          <a:graphicFrameLocks noChangeAspect="0"/>
        </xdr:cNvGraphicFramePr>
      </xdr:nvGraphicFramePr>
      <xdr:xfrm>
        <a:off x="9525000" y="0"/>
        <a:ext cx="4572000" cy="2819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arget="#Alert_Dashboard!B2" Type="http://schemas.openxmlformats.org/officeDocument/2006/relationships/hyperlink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0.xml.rels><?xml version="1.0" encoding="UTF-8" standalone="yes"?>
<Relationships xmlns="http://schemas.openxmlformats.org/package/2006/relationships"><Relationship Id="rId1" Target="#Alert_Dashboard!B2" Type="http://schemas.openxmlformats.org/officeDocument/2006/relationships/hyperlink" TargetMode="External"/></Relationships>
</file>

<file path=xl/worksheets/_rels/sheet23.xml.rels><?xml version="1.0" encoding="UTF-8" standalone="yes"?>
<Relationships xmlns="http://schemas.openxmlformats.org/package/2006/relationships"><Relationship Id="rId1" Target="#Alert_Dashboard!B2" Type="http://schemas.openxmlformats.org/officeDocument/2006/relationships/hyperlink" TargetMode="External"/></Relationships>
</file>

<file path=xl/worksheets/_rels/sheet24.xml.rels><?xml version="1.0" encoding="UTF-8" standalone="yes"?>
<Relationships xmlns="http://schemas.openxmlformats.org/package/2006/relationships"><Relationship Id="rId1" Target="#Alert_Dashboard!B2" Type="http://schemas.openxmlformats.org/officeDocument/2006/relationships/hyperlink" TargetMode="External"/></Relationships>
</file>

<file path=xl/worksheets/_rels/sheet26.xml.rels><?xml version="1.0" encoding="UTF-8" standalone="yes"?>
<Relationships xmlns="http://schemas.openxmlformats.org/package/2006/relationships"><Relationship Id="rId1" Target="#Alert_Dashboard!B2" Type="http://schemas.openxmlformats.org/officeDocument/2006/relationships/hyperlink" TargetMode="External"/></Relationships>
</file>

<file path=xl/worksheets/_rels/sheet27.xml.rels><?xml version="1.0" encoding="UTF-8" standalone="yes"?>
<Relationships xmlns="http://schemas.openxmlformats.org/package/2006/relationships"><Relationship Id="rId1" Target="#Alert_Dashboard!B2" Type="http://schemas.openxmlformats.org/officeDocument/2006/relationships/hyperlink" TargetMode="External"/></Relationships>
</file>

<file path=xl/worksheets/_rels/sheet28.xml.rels><?xml version="1.0" encoding="UTF-8" standalone="yes"?>
<Relationships xmlns="http://schemas.openxmlformats.org/package/2006/relationships"><Relationship Id="rId1" Target="#Alert_Dashboard!B2" Type="http://schemas.openxmlformats.org/officeDocument/2006/relationships/hyperlink" TargetMode="External"/></Relationships>
</file>

<file path=xl/worksheets/_rels/sheet33.xml.rels><?xml version="1.0" encoding="UTF-8" standalone="yes"?>
<Relationships xmlns="http://schemas.openxmlformats.org/package/2006/relationships"><Relationship Id="rId1" Target="#Alert_Dashboard!B2" Type="http://schemas.openxmlformats.org/officeDocument/2006/relationships/hyperlink" TargetMode="External"/></Relationships>
</file>

<file path=xl/worksheets/_rels/sheet37.xml.rels><?xml version="1.0" encoding="UTF-8" standalone="yes"?>
<Relationships xmlns="http://schemas.openxmlformats.org/package/2006/relationships"><Relationship Id="rId1" Target="#FIN_07_Debt_Covenant!A1" Type="http://schemas.openxmlformats.org/officeDocument/2006/relationships/hyperlink" TargetMode="External"/><Relationship Id="rId2" Target="#OPS_11_Occupancy_Mix!A1" Type="http://schemas.openxmlformats.org/officeDocument/2006/relationships/hyperlink" TargetMode="External"/><Relationship Id="rId3" Target="#FIN_04_Budget_Variance!A1" Type="http://schemas.openxmlformats.org/officeDocument/2006/relationships/hyperlink" TargetMode="External"/><Relationship Id="rId4" Target="#MKT_16_Marketing_CPA!A1" Type="http://schemas.openxmlformats.org/officeDocument/2006/relationships/hyperlink" TargetMode="External"/><Relationship Id="rId5" Target="#OPS_13_Turnover_MakeReady!A1" Type="http://schemas.openxmlformats.org/officeDocument/2006/relationships/hyperlink" TargetMode="External"/><Relationship Id="rId6" Target="#OPS_12_Renewal_Retention!A1" Type="http://schemas.openxmlformats.org/officeDocument/2006/relationships/hyperlink" TargetMode="External"/><Relationship Id="rId7" Target="#FIN_08_AR_Bad_Debt!A1" Type="http://schemas.openxmlformats.org/officeDocument/2006/relationships/hyperlink" TargetMode="External"/><Relationship Id="rId8" Target="#DEV_19_Cost_Complete!A1" Type="http://schemas.openxmlformats.org/officeDocument/2006/relationships/hyperlink" TargetMode="External"/><Relationship Id="rId9" Target="#FIN_01_Investor_Pack!A1" Type="http://schemas.openxmlformats.org/officeDocument/2006/relationships/hyperlink" TargetMode="External"/><Relationship Id="rId10" Target="#FIN_02_NOI_Pack!A1" Type="http://schemas.openxmlformats.org/officeDocument/2006/relationships/hyperlink" TargetMode="External"/><Relationship Id="rId11" Target="#FIN_03_Rent_Roll!A1" Type="http://schemas.openxmlformats.org/officeDocument/2006/relationships/hyperlink" TargetMode="External"/><Relationship Id="rId12" Target="#FIN_04_Budget_Variance!A1" Type="http://schemas.openxmlformats.org/officeDocument/2006/relationships/hyperlink" TargetMode="External"/><Relationship Id="rId13" Target="#FIN_05_Cash_Flow!A1" Type="http://schemas.openxmlformats.org/officeDocument/2006/relationships/hyperlink" TargetMode="External"/><Relationship Id="rId14" Target="#FIN_06_Capex!A1" Type="http://schemas.openxmlformats.org/officeDocument/2006/relationships/hyperlink" TargetMode="External"/><Relationship Id="rId15" Target="#FIN_07_Debt_Covenant!A1" Type="http://schemas.openxmlformats.org/officeDocument/2006/relationships/hyperlink" TargetMode="External"/><Relationship Id="rId16" Target="#FIN_08_AR_Bad_Debt!A1" Type="http://schemas.openxmlformats.org/officeDocument/2006/relationships/hyperlink" TargetMode="External"/><Relationship Id="rId17" Target="#OPS_09_Leasing_OnePager!A1" Type="http://schemas.openxmlformats.org/officeDocument/2006/relationships/hyperlink" TargetMode="External"/><Relationship Id="rId18" Target="#OPS_10_Leasing_Funnel!A1" Type="http://schemas.openxmlformats.org/officeDocument/2006/relationships/hyperlink" TargetMode="External"/><Relationship Id="rId19" Target="#OPS_11_Occupancy_Mix!A1" Type="http://schemas.openxmlformats.org/officeDocument/2006/relationships/hyperlink" TargetMode="External"/><Relationship Id="rId20" Target="#OPS_12_Renewal_Retention!A1" Type="http://schemas.openxmlformats.org/officeDocument/2006/relationships/hyperlink" TargetMode="External"/><Relationship Id="rId21" Target="#OPS_13_Turnover_MakeReady!A1" Type="http://schemas.openxmlformats.org/officeDocument/2006/relationships/hyperlink" TargetMode="External"/><Relationship Id="rId22" Target="#OPS_14_Maintenance_WO!A1" Type="http://schemas.openxmlformats.org/officeDocument/2006/relationships/hyperlink" TargetMode="External"/><Relationship Id="rId23" Target="#OPS_15_Resident_NPS!A1" Type="http://schemas.openxmlformats.org/officeDocument/2006/relationships/hyperlink" TargetMode="External"/><Relationship Id="rId24" Target="#MKT_16_Marketing_CPA!A1" Type="http://schemas.openxmlformats.org/officeDocument/2006/relationships/hyperlink" TargetMode="External"/><Relationship Id="rId25" Target="#MKT_17_Attribution!A1" Type="http://schemas.openxmlformats.org/officeDocument/2006/relationships/hyperlink" TargetMode="External"/><Relationship Id="rId26" Target="#DEV_18_Project_EV!A1" Type="http://schemas.openxmlformats.org/officeDocument/2006/relationships/hyperlink" TargetMode="External"/><Relationship Id="rId27" Target="#DEV_19_Cost_Complete!A1" Type="http://schemas.openxmlformats.org/officeDocument/2006/relationships/hyperlink" TargetMode="External"/><Relationship Id="rId28" Target="#DEV_20_Entitlement_Risk!A1" Type="http://schemas.openxmlformats.org/officeDocument/2006/relationships/hyperlink" TargetMode="External"/><Relationship Id="rId29" Target="#CAP_21_Investor_Quarterly!A1" Type="http://schemas.openxmlformats.org/officeDocument/2006/relationships/hyperlink" TargetMode="External"/><Relationship Id="rId30" Target="#ESG_22_Sustainability!A1" Type="http://schemas.openxmlformats.org/officeDocument/2006/relationships/hyperlink" TargetMode="External"/><Relationship Id="rId31" Target="mailto:mchen@company.com;swilliams@company.com;dpark@company.com?subject=URGENT: Executive Alert Escalation&amp;body=Alert requires immediate executive attention." Type="http://schemas.openxmlformats.org/officeDocument/2006/relationships/hyperlink" TargetMode="External"/><Relationship Id="rId32" Target="mailto:jmartinez@company.com;rkim@company.com;athompson@company.com?subject=Alert Escalation - Director Review&amp;body=Please review the attached alert." Type="http://schemas.openxmlformats.org/officeDocument/2006/relationships/hyperlink" TargetMode="External"/><Relationship Id="rId33" Target="mailto:lwong@company.com;trichards@company.com;ndavis@company.com;jwilson@company.com;esantos@company.com?subject=Alert Notification&amp;body=New alert requires attention." Type="http://schemas.openxmlformats.org/officeDocument/2006/relationships/hyperlink" TargetMode="External"/><Relationship Id="rId34" Target="mailto:swilliams@company.com;athompson@company.com?subject=CRITICAL: DSCR Covenant Alert&amp;body=DSCR has breached 1.20x threshold. Current: 1.18x. Immediate lender communication required." Type="http://schemas.openxmlformats.org/officeDocument/2006/relationships/hyperlink" TargetMode="External"/><Relationship Id="rId35" Target="mailto:jmartinez@company.com;lwong@company.com?subject=CRITICAL: Occupancy Alert&amp;body=Portfolio occupancy below 92%. Current: 91.2%. Emergency leasing sprint required." Type="http://schemas.openxmlformats.org/officeDocument/2006/relationships/hyperlink" TargetMode="External"/><Relationship Id="rId36" Target="mailto:trichards@company.com;ndavis@company.com?subject=[L1 MONITOR] Daily Alert Digest - 01/12/2026&amp;body=Daily Performance Alert Summary%0A%0AThe following metrics require monitoring:%0A&#8226; Budget Variance: 6.2%25 (Threshold: &#8804;5%25)%0A&#8226; Marketing CPL: $82 (Threshold: &#8804;$75)%0A&#8226; Make-Ready Days: 9.2 (Threshold: &#8804;7)%0A%0AACTION: Review and acknowledge within 24 hours." Type="http://schemas.openxmlformats.org/officeDocument/2006/relationships/hyperlink" TargetMode="External"/><Relationship Id="rId37" Target="mailto:lwong@company.com;jmartinez@company.com?subject=[L2 WARNING] Action Required - Renewal Rate Alert&amp;body=&#9888;&#65039; WARNING ALERT - Action Required Within 8 Hours%0A%0AALERT DETAILS:%0A&#8226; Metric: Renewal Rate%0A&#8226; Current Value: 52%25%0A&#8226; Threshold: &#8805;55%25%0A&#8226; Variance: -5.5%25 below target%0A%0ARECOMMENDED ACTIONS:%0A1. Review expiring leases%0A2. Initiate retention outreach%0A3. Prepare variance memo" Type="http://schemas.openxmlformats.org/officeDocument/2006/relationships/hyperlink" TargetMode="External"/><Relationship Id="rId38" Target="mailto:jmartinez@company.com;rkim@company.com;athompson@company.com;lwong@company.com?subject=[L3 CRITICAL] Immediate Action - Occupancy Breach&amp;body=&#128308; CRITICAL ALERT - Immediate Response Required%0A%0ABREACH DETAILS:%0A&#8226; Metric: Portfolio Occupancy%0A&#8226; Current: 91.2%25 (Threshold: 92%25)%0A&#8226; Impact: ~$15K/month revenue at risk%0A%0AIMMEDIATE ACTIONS:%0A1. Emergency leasing sprint%0A2. Review pricing strategy%0A3. Authorize concessions" Type="http://schemas.openxmlformats.org/officeDocument/2006/relationships/hyperlink" TargetMode="External"/><Relationship Id="rId39" Target="mailto:mchen@company.com;swilliams@company.com;dpark@company.com?subject=[L4 EXECUTIVE] URGENT: DSCR Covenant Breach - Board Notification Required&amp;body=&#128680; EXECUTIVE ALERT - IMMEDIATE BOARD NOTIFICATION%0A%0ACOVENANT BREACH:%0A&#8226; DSCR Required: &#8805;1.20x%0A&#8226; Current: 1.18x (-1.7%25)%0A&#8226; Cure Period: 30 days%0A%0AACTIONS TAKEN:%0A1. Lender call scheduled 10AM%0A2. Capital freeze implemented%0A3. Cure plan in development%0A%0AREQUIRED DECISIONS:%0A&#9633; Approve lender communication%0A&#9633; Authorize capital reallocation%0A&#9633; Board notification timing" Type="http://schemas.openxmlformats.org/officeDocument/2006/relationships/hyperlink" TargetMode="Externa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FA78FD8-DB1E-B568-3FA4-3880B0891E6C}" mc:Ignorable="x14ac xr xr2 xr3">
  <dimension ref="A1:GR50022"/>
  <sheetViews>
    <sheetView showGridLines="0" topLeftCell="A69" zoomScale="70" workbookViewId="0">
      <selection activeCell="B50" sqref="B50:Q81"/>
    </sheetView>
  </sheetViews>
  <sheetFormatPr defaultRowHeight="15" defaultColWidth="7.75390625" customHeight="1"/>
  <cols>
    <col min="1" max="1" width="3.75390625" customWidth="1"/>
    <col min="2" max="15" width="10.625" customWidth="1"/>
    <col min="16" max="16" width="3.75390625" customWidth="1"/>
  </cols>
  <sheetData>
    <row r="2" ht="34.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" customHeight="1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7.75" customHeight="1">
      <c r="B4" s="4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15" customHeight="1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23.25" customHeight="1">
      <c r="B6" s="5" t="str">
        <f>TEXT(DATE(YEAR(TODAY()),MONTH(TODAY()),1),"mmmm yyyy")</f>
        <v>January 2026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ht="15" customHeight="1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15.75" customHeight="1">
      <c r="B8" s="6" t="s">
        <v>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ht="15" customHeight="1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ht="13.5" customHeight="1">
      <c r="B10" s="7" t="str">
        <f>"Generated: "&amp;TEXT(NOW(),"mmmm d, yyyy")&amp;" at "&amp;TEXT(NOW(),"h:mm AM/PM")</f>
        <v>Generated: January 12, 2026 at 9:41 AM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ht="15" customHeight="1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ht="15" customHeight="1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" customHeight="1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ht="18" customHeight="1">
      <c r="B14" s="9" t="s">
        <v>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ht="15" customHeight="1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3.5" customHeight="1">
      <c r="B16" s="11" t="s">
        <v>6</v>
      </c>
      <c r="C16" s="10"/>
      <c r="D16" s="11" t="s">
        <v>7</v>
      </c>
      <c r="E16" s="10"/>
      <c r="F16" s="11" t="s">
        <v>8</v>
      </c>
      <c r="G16" s="10"/>
      <c r="H16" s="11" t="s">
        <v>9</v>
      </c>
      <c r="I16" s="10"/>
      <c r="J16" s="11" t="s">
        <v>10</v>
      </c>
      <c r="K16" s="10"/>
      <c r="L16" s="11" t="s">
        <v>11</v>
      </c>
      <c r="M16" s="10"/>
      <c r="N16" s="10"/>
      <c r="O16" s="10"/>
    </row>
    <row r="17" ht="23.25" customHeight="1">
      <c r="B17" s="12" cm="1">
        <f t="array" ref="B17">CAP_21_Investor_Quarterly!B5</f>
        <v>13350000</v>
      </c>
      <c r="C17" s="10"/>
      <c r="D17" s="12" cm="1">
        <f t="array" ref="D17">FIN_01_Investor_Pack!E21</f>
        <v>7715000</v>
      </c>
      <c r="E17" s="10"/>
      <c r="F17" s="13" cm="1">
        <f t="array" ref="F17">CAP_21_Investor_Quarterly!B7</f>
        <v>0.614</v>
      </c>
      <c r="G17" s="10"/>
      <c r="H17" s="13" cm="1">
        <f t="array" ref="H17">OPS_11_Occupancy_Mix!D12</f>
        <v>0.952191235059761</v>
      </c>
      <c r="I17" s="10"/>
      <c r="J17" s="12" cm="1">
        <f t="array" ref="J17">CAP_21_Investor_Quarterly!B10</f>
        <v>7050000</v>
      </c>
      <c r="K17" s="10"/>
      <c r="L17" s="14" cm="1">
        <f t="array" ref="L17">FIN_07_Debt_Covenant!D5</f>
        <v>1.52</v>
      </c>
      <c r="M17" s="10"/>
      <c r="N17" s="10"/>
      <c r="O17" s="10"/>
    </row>
    <row r="18" ht="13.5" customHeight="1">
      <c r="B18" s="15" cm="1">
        <f t="array" ref="B18">CAP_21_Investor_Quarterly!D5</f>
        <v>0.0190839694656489</v>
      </c>
      <c r="C18" s="10"/>
      <c r="D18" s="16" t="s">
        <v>12</v>
      </c>
      <c r="E18" s="10"/>
      <c r="F18" s="17" t="s">
        <v>13</v>
      </c>
      <c r="G18" s="10"/>
      <c r="H18" s="17" t="s">
        <v>14</v>
      </c>
      <c r="I18" s="10"/>
      <c r="J18" s="15" cm="1">
        <f t="array" ref="J18">CAP_21_Investor_Quarterly!D10</f>
        <v>0.0217391304347826</v>
      </c>
      <c r="K18" s="10"/>
      <c r="L18" s="17" t="s">
        <v>15</v>
      </c>
      <c r="M18" s="10"/>
      <c r="N18" s="10"/>
      <c r="O18" s="10"/>
    </row>
    <row r="19" ht="15" customHeight="1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ht="18" customHeight="1">
      <c r="B20" s="9" t="s">
        <v>16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ht="15" customHeight="1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ht="15" customHeight="1">
      <c r="B22" s="18" t="s">
        <v>17</v>
      </c>
      <c r="C22" s="3"/>
      <c r="D22" s="3"/>
      <c r="E22" s="3"/>
      <c r="F22" s="3"/>
      <c r="G22" s="3"/>
      <c r="H22" s="3"/>
      <c r="I22" s="19" t="s">
        <v>18</v>
      </c>
      <c r="J22" s="3"/>
      <c r="K22" s="3"/>
      <c r="L22" s="3"/>
      <c r="M22" s="3"/>
      <c r="N22" s="3"/>
      <c r="O22" s="3"/>
    </row>
    <row r="23" ht="12.75" customHeight="1">
      <c r="B23" s="20" t="s">
        <v>19</v>
      </c>
      <c r="C23" s="20" t="s">
        <v>20</v>
      </c>
      <c r="D23" s="20"/>
      <c r="E23" s="20" t="s">
        <v>21</v>
      </c>
      <c r="F23" s="20" t="s">
        <v>22</v>
      </c>
      <c r="G23" s="20" t="s">
        <v>23</v>
      </c>
      <c r="H23" s="20"/>
      <c r="I23" s="20" t="s">
        <v>19</v>
      </c>
      <c r="J23" s="20" t="s">
        <v>20</v>
      </c>
      <c r="K23" s="20"/>
      <c r="L23" s="20" t="s">
        <v>24</v>
      </c>
      <c r="M23" s="20" t="s">
        <v>22</v>
      </c>
      <c r="N23" s="20" t="s">
        <v>23</v>
      </c>
      <c r="O23" s="20"/>
    </row>
    <row r="24" ht="12.75" customHeight="1">
      <c r="B24" s="21" t="s">
        <v>6</v>
      </c>
      <c r="C24" s="21" cm="1">
        <f t="array" ref="C24">Portfolio_Summary!B6</f>
        <v>0</v>
      </c>
      <c r="D24" s="21"/>
      <c r="E24" s="21" cm="1">
        <f t="array" ref="E24">Portfolio_Summary!C6</f>
        <v>52500000</v>
      </c>
      <c r="F24" s="21" cm="1">
        <f t="array" ref="F24">Portfolio_Summary!E6</f>
        <v>-1</v>
      </c>
      <c r="G24" s="21" cm="1" t="str">
        <f t="array" ref="G24">Portfolio_Summary!F6</f>
        <v>✗</v>
      </c>
      <c r="H24" s="21"/>
      <c r="I24" s="21" t="s">
        <v>26</v>
      </c>
      <c r="J24" s="21" cm="1">
        <f t="array" ref="J24">Portfolio_Summary!B15</f>
        <v>0.952191235059761</v>
      </c>
      <c r="K24" s="21"/>
      <c r="L24" s="21" cm="1">
        <f t="array" ref="L24">Portfolio_Summary!C15</f>
        <v>0.94</v>
      </c>
      <c r="M24" s="21" cm="1">
        <f t="array" ref="M24">Portfolio_Summary!E15</f>
        <v>0.0129693989997458</v>
      </c>
      <c r="N24" s="21" cm="1" t="str">
        <f t="array" ref="N24">Portfolio_Summary!F15</f>
        <v>✓</v>
      </c>
      <c r="O24" s="21"/>
    </row>
    <row r="25" ht="12.75" customHeight="1">
      <c r="B25" s="21" t="s">
        <v>7</v>
      </c>
      <c r="C25" s="21" cm="1">
        <f t="array" ref="C25">Portfolio_Summary!B7</f>
        <v>7715000</v>
      </c>
      <c r="D25" s="21"/>
      <c r="E25" s="21" cm="1">
        <f t="array" ref="E25">Portfolio_Summary!C7</f>
        <v>32000000</v>
      </c>
      <c r="F25" s="21" cm="1">
        <f t="array" ref="F25">Portfolio_Summary!E7</f>
        <v>-0.75890625</v>
      </c>
      <c r="G25" s="21" cm="1" t="str">
        <f t="array" ref="G25">Portfolio_Summary!F7</f>
        <v>✗</v>
      </c>
      <c r="H25" s="21"/>
      <c r="I25" s="21" t="s">
        <v>28</v>
      </c>
      <c r="J25" s="21" cm="1">
        <f t="array" ref="J25">Portfolio_Summary!B16</f>
        <v>1814.37238493724</v>
      </c>
      <c r="K25" s="21"/>
      <c r="L25" s="21" cm="1">
        <f t="array" ref="L25">Portfolio_Summary!C16</f>
        <v>1780</v>
      </c>
      <c r="M25" s="21" cm="1">
        <f t="array" ref="M25">Portfolio_Summary!E16</f>
        <v>0.019310328616427</v>
      </c>
      <c r="N25" s="21" cm="1" t="str">
        <f t="array" ref="N25">Portfolio_Summary!F16</f>
        <v>✓</v>
      </c>
      <c r="O25" s="21"/>
    </row>
    <row r="26" ht="12.75" customHeight="1">
      <c r="B26" s="21" t="s">
        <v>29</v>
      </c>
      <c r="C26" s="21" cm="1">
        <f t="array" ref="C26">Portfolio_Summary!B8</f>
        <v>0</v>
      </c>
      <c r="D26" s="21"/>
      <c r="E26" s="21" cm="1">
        <f t="array" ref="E26">Portfolio_Summary!C8</f>
        <v>0.61</v>
      </c>
      <c r="F26" s="21" cm="1">
        <f t="array" ref="F26">Portfolio_Summary!E8</f>
        <v>-1</v>
      </c>
      <c r="G26" s="21" cm="1" t="str">
        <f t="array" ref="G26">Portfolio_Summary!F8</f>
        <v>✗</v>
      </c>
      <c r="H26" s="21"/>
      <c r="I26" s="21" t="s">
        <v>30</v>
      </c>
      <c r="J26" s="21" cm="1">
        <f t="array" ref="J26">Portfolio_Summary!B17</f>
        <v>0.0903562119895743</v>
      </c>
      <c r="K26" s="21"/>
      <c r="L26" s="21" cm="1">
        <f t="array" ref="L26">Portfolio_Summary!C17</f>
        <v>0.08</v>
      </c>
      <c r="M26" s="21" cm="1">
        <f t="array" ref="M26">Portfolio_Summary!E17</f>
        <v>0.129452649869679</v>
      </c>
      <c r="N26" s="21" cm="1" t="str">
        <f t="array" ref="N26">Portfolio_Summary!F17</f>
        <v>✓</v>
      </c>
      <c r="O26" s="21"/>
    </row>
    <row r="27" ht="12.75" customHeight="1">
      <c r="B27" s="21" t="s">
        <v>10</v>
      </c>
      <c r="C27" s="21" cm="1">
        <f t="array" ref="C27">Portfolio_Summary!B9</f>
        <v>100000</v>
      </c>
      <c r="D27" s="21"/>
      <c r="E27" s="21" cm="1">
        <f t="array" ref="E27">Portfolio_Summary!C9</f>
        <v>28000000</v>
      </c>
      <c r="F27" s="21" cm="1">
        <f t="array" ref="F27">Portfolio_Summary!E9</f>
        <v>-0.996428571428571</v>
      </c>
      <c r="G27" s="21" cm="1" t="str">
        <f t="array" ref="G27">Portfolio_Summary!F9</f>
        <v>✗</v>
      </c>
      <c r="H27" s="21"/>
      <c r="I27" s="21" t="s">
        <v>31</v>
      </c>
      <c r="J27" s="21" cm="1">
        <f t="array" ref="J27">Portfolio_Summary!B18</f>
        <v>0.727272727272727</v>
      </c>
      <c r="K27" s="21"/>
      <c r="L27" s="21" cm="1">
        <f t="array" ref="L27">Portfolio_Summary!C18</f>
        <v>0.7</v>
      </c>
      <c r="M27" s="21" cm="1">
        <f t="array" ref="M27">Portfolio_Summary!E18</f>
        <v>0.0389610389610386</v>
      </c>
      <c r="N27" s="21" cm="1" t="str">
        <f t="array" ref="N27">Portfolio_Summary!F18</f>
        <v>✓</v>
      </c>
      <c r="O27" s="21"/>
    </row>
    <row r="28" ht="12.75" customHeight="1">
      <c r="B28" s="21" t="s">
        <v>32</v>
      </c>
      <c r="C28" s="21" cm="1">
        <f t="array" ref="C28">Portfolio_Summary!B10</f>
        <v>0.0356897735072066</v>
      </c>
      <c r="D28" s="21"/>
      <c r="E28" s="21" cm="1">
        <f t="array" ref="E28">Portfolio_Summary!C10</f>
        <v>0.025</v>
      </c>
      <c r="F28" s="21" cm="1">
        <f t="array" ref="F28">Portfolio_Summary!E10</f>
        <v>0.427590940288264</v>
      </c>
      <c r="G28" s="21" cm="1" t="str">
        <f t="array" ref="G28">Portfolio_Summary!F10</f>
        <v>✓</v>
      </c>
      <c r="H28" s="21"/>
      <c r="I28" s="21" t="s">
        <v>33</v>
      </c>
      <c r="J28" s="21" cm="1">
        <f t="array" ref="J28">Portfolio_Summary!B19</f>
        <v>0.695833333333333</v>
      </c>
      <c r="K28" s="21"/>
      <c r="L28" s="21" cm="1">
        <f t="array" ref="L28">Portfolio_Summary!C19</f>
        <v>0.68</v>
      </c>
      <c r="M28" s="21" cm="1">
        <f t="array" ref="M28">Portfolio_Summary!E19</f>
        <v>0.0232843137254896</v>
      </c>
      <c r="N28" s="21" cm="1" t="str">
        <f t="array" ref="N28">Portfolio_Summary!F19</f>
        <v>✓</v>
      </c>
      <c r="O28" s="21"/>
    </row>
    <row r="29" ht="12.75" customHeight="1">
      <c r="B29" s="21" t="s">
        <v>34</v>
      </c>
      <c r="C29" s="21" cm="1">
        <f t="array" ref="C29">Portfolio_Summary!B11</f>
        <v>2.85</v>
      </c>
      <c r="D29" s="21"/>
      <c r="E29" s="21" cm="1">
        <f t="array" ref="E29">Portfolio_Summary!C11</f>
        <v>1.4</v>
      </c>
      <c r="F29" s="21" cm="1">
        <f t="array" ref="F29">Portfolio_Summary!E11</f>
        <v>1.03571428571429</v>
      </c>
      <c r="G29" s="21" cm="1" t="str">
        <f t="array" ref="G29">Portfolio_Summary!F11</f>
        <v>✓</v>
      </c>
      <c r="H29" s="21"/>
      <c r="I29" s="21" t="s">
        <v>35</v>
      </c>
      <c r="J29" s="21" cm="1">
        <f t="array" ref="J29">Portfolio_Summary!B20</f>
        <v>19.3925093632959</v>
      </c>
      <c r="K29" s="21"/>
      <c r="L29" s="21" cm="1">
        <f t="array" ref="L29">Portfolio_Summary!C20</f>
        <v>24</v>
      </c>
      <c r="M29" s="21" cm="1">
        <f t="array" ref="M29">Portfolio_Summary!E20</f>
        <v>0.191978776529337</v>
      </c>
      <c r="N29" s="21" cm="1" t="str">
        <f t="array" ref="N29">Portfolio_Summary!F20</f>
        <v>✓</v>
      </c>
      <c r="O29" s="21"/>
    </row>
    <row r="30" ht="15" customHeight="1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ht="15" customHeight="1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ht="18" customHeight="1">
      <c r="B32" s="9" t="s">
        <v>36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ht="15" customHeight="1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ht="15" customHeight="1">
      <c r="B34" s="22" t="s">
        <v>37</v>
      </c>
      <c r="C34" s="3"/>
      <c r="D34" s="3"/>
      <c r="E34" s="3"/>
      <c r="F34" s="3"/>
      <c r="G34" s="3"/>
      <c r="H34" s="3"/>
      <c r="I34" s="22" t="s">
        <v>38</v>
      </c>
      <c r="J34" s="3"/>
      <c r="K34" s="3"/>
      <c r="L34" s="3"/>
      <c r="M34" s="3"/>
      <c r="N34" s="3"/>
      <c r="O34" s="3"/>
    </row>
    <row r="35" ht="12.75" customHeight="1">
      <c r="B35" s="23" t="s">
        <v>39</v>
      </c>
      <c r="C35" s="23" t="s">
        <v>40</v>
      </c>
      <c r="D35" s="3"/>
      <c r="E35" s="3"/>
      <c r="F35" s="3"/>
      <c r="G35" s="3"/>
      <c r="H35" s="3"/>
      <c r="I35" s="23" t="s">
        <v>41</v>
      </c>
      <c r="J35" s="23" t="s">
        <v>42</v>
      </c>
      <c r="K35" s="3"/>
      <c r="L35" s="3"/>
      <c r="M35" s="3"/>
      <c r="N35" s="3"/>
      <c r="O35" s="3"/>
    </row>
    <row r="36" ht="12.75" customHeight="1">
      <c r="B36" s="24" t="s">
        <v>43</v>
      </c>
      <c r="C36" s="25">
        <f>FIN_05_Cash_Flow!B27/1000000</f>
        <v>2.09425</v>
      </c>
      <c r="D36" s="3"/>
      <c r="E36" s="3"/>
      <c r="F36" s="3"/>
      <c r="G36" s="3"/>
      <c r="H36" s="3"/>
      <c r="I36" s="24" t="s">
        <v>44</v>
      </c>
      <c r="J36" s="26" cm="1">
        <f t="array" ref="J36">OPS_11_Occupancy_Mix!D5</f>
        <v>0.958333333333333</v>
      </c>
      <c r="K36" s="3"/>
      <c r="L36" s="3"/>
      <c r="M36" s="3"/>
      <c r="N36" s="3"/>
      <c r="O36" s="3"/>
    </row>
    <row r="37" ht="12.75" customHeight="1">
      <c r="B37" s="24" t="s">
        <v>45</v>
      </c>
      <c r="C37" s="25">
        <f>FIN_05_Cash_Flow!C27/1000000</f>
        <v>2.20855</v>
      </c>
      <c r="D37" s="3"/>
      <c r="E37" s="3"/>
      <c r="F37" s="3"/>
      <c r="G37" s="3"/>
      <c r="H37" s="3"/>
      <c r="I37" s="24" t="s">
        <v>46</v>
      </c>
      <c r="J37" s="26" cm="1">
        <f t="array" ref="J37">OPS_11_Occupancy_Mix!D6</f>
        <v>0.955882352941177</v>
      </c>
      <c r="K37" s="3"/>
      <c r="L37" s="3"/>
      <c r="M37" s="3"/>
      <c r="N37" s="3"/>
      <c r="O37" s="3"/>
    </row>
    <row r="38" ht="12.75" customHeight="1">
      <c r="B38" s="24" t="s">
        <v>47</v>
      </c>
      <c r="C38" s="25">
        <f>FIN_05_Cash_Flow!D27/1000000</f>
        <v>2.31585</v>
      </c>
      <c r="D38" s="3"/>
      <c r="E38" s="3"/>
      <c r="F38" s="3"/>
      <c r="G38" s="3"/>
      <c r="H38" s="3"/>
      <c r="I38" s="24" t="s">
        <v>48</v>
      </c>
      <c r="J38" s="26" cm="1">
        <f t="array" ref="J38">OPS_11_Occupancy_Mix!D7</f>
        <v>0.9375</v>
      </c>
      <c r="K38" s="3"/>
      <c r="L38" s="3"/>
      <c r="M38" s="3"/>
      <c r="N38" s="3"/>
      <c r="O38" s="3"/>
    </row>
    <row r="39" ht="12.75" customHeight="1">
      <c r="B39" s="24" t="s">
        <v>49</v>
      </c>
      <c r="C39" s="25">
        <f>FIN_05_Cash_Flow!E27/1000000</f>
        <v>2.4332</v>
      </c>
      <c r="D39" s="3"/>
      <c r="E39" s="3"/>
      <c r="F39" s="3"/>
      <c r="G39" s="3"/>
      <c r="H39" s="3"/>
      <c r="I39" s="24" t="s">
        <v>50</v>
      </c>
      <c r="J39" s="26" cm="1">
        <f t="array" ref="J39">OPS_11_Occupancy_Mix!D8</f>
        <v>0.933333333333333</v>
      </c>
      <c r="K39" s="3"/>
      <c r="L39" s="3"/>
      <c r="M39" s="3"/>
      <c r="N39" s="3"/>
      <c r="O39" s="3"/>
    </row>
    <row r="40" ht="12.75" customHeight="1">
      <c r="B40" s="24" t="s">
        <v>51</v>
      </c>
      <c r="C40" s="25">
        <f>FIN_05_Cash_Flow!F27/1000000</f>
        <v>2.5406</v>
      </c>
      <c r="D40" s="3"/>
      <c r="E40" s="3"/>
      <c r="F40" s="3"/>
      <c r="G40" s="3"/>
      <c r="H40" s="3"/>
      <c r="I40" s="24" t="s">
        <v>52</v>
      </c>
      <c r="J40" s="26" cm="1">
        <f t="array" ref="J40">OPS_11_Occupancy_Mix!D9</f>
        <v>0.964285714285714</v>
      </c>
      <c r="K40" s="3"/>
      <c r="L40" s="3"/>
      <c r="M40" s="3"/>
      <c r="N40" s="3"/>
      <c r="O40" s="3"/>
    </row>
    <row r="41" ht="12.75" customHeight="1">
      <c r="B41" s="24" t="s">
        <v>53</v>
      </c>
      <c r="C41" s="25">
        <f>FIN_05_Cash_Flow!G27/1000000</f>
        <v>2.647</v>
      </c>
      <c r="D41" s="3"/>
      <c r="E41" s="3"/>
      <c r="F41" s="3"/>
      <c r="G41" s="3"/>
      <c r="H41" s="3"/>
      <c r="I41" s="24" t="s">
        <v>54</v>
      </c>
      <c r="J41" s="26" cm="1">
        <f t="array" ref="J41">OPS_11_Occupancy_Mix!D10</f>
        <v>0.944444444444444</v>
      </c>
      <c r="K41" s="3"/>
      <c r="L41" s="3"/>
      <c r="M41" s="3"/>
      <c r="N41" s="3"/>
      <c r="O41" s="3"/>
    </row>
    <row r="42" ht="12.75" customHeight="1">
      <c r="B42" s="24" t="s">
        <v>55</v>
      </c>
      <c r="C42" s="25">
        <f>FIN_05_Cash_Flow!H27/1000000</f>
        <v>2.74345</v>
      </c>
      <c r="D42" s="3"/>
      <c r="E42" s="3"/>
      <c r="F42" s="3"/>
      <c r="G42" s="3"/>
      <c r="H42" s="3"/>
      <c r="I42" s="24" t="s">
        <v>56</v>
      </c>
      <c r="J42" s="26" cm="1">
        <f t="array" ref="J42">OPS_11_Occupancy_Mix!D11</f>
        <v>1</v>
      </c>
      <c r="K42" s="3"/>
      <c r="L42" s="3"/>
      <c r="M42" s="3"/>
      <c r="N42" s="3"/>
      <c r="O42" s="3"/>
    </row>
    <row r="43" ht="12.75" customHeight="1">
      <c r="B43" s="24" t="s">
        <v>57</v>
      </c>
      <c r="C43" s="25">
        <f>FIN_05_Cash_Flow!I27/1000000</f>
        <v>2.85595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ht="12.75" customHeight="1">
      <c r="B44" s="24" t="s">
        <v>58</v>
      </c>
      <c r="C44" s="25">
        <f>FIN_05_Cash_Flow!J27/1000000</f>
        <v>2.97445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ht="12.75" customHeight="1">
      <c r="B45" s="24" t="s">
        <v>59</v>
      </c>
      <c r="C45" s="25">
        <f>FIN_05_Cash_Flow!K27/1000000</f>
        <v>3.106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ht="12.75" customHeight="1">
      <c r="B46" s="24" t="s">
        <v>60</v>
      </c>
      <c r="C46" s="25">
        <f>FIN_05_Cash_Flow!L27/1000000</f>
        <v>3.2286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ht="12.75" customHeight="1">
      <c r="B47" s="24" t="s">
        <v>61</v>
      </c>
      <c r="C47" s="25">
        <f>FIN_05_Cash_Flow!M27/1000000</f>
        <v>3.3522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ht="15" customHeight="1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ht="15" customHeight="1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ht="15" customHeight="1">
      <c r="B50" s="22" t="s">
        <v>62</v>
      </c>
      <c r="C50" s="3"/>
      <c r="D50" s="3"/>
      <c r="E50" s="3"/>
      <c r="F50" s="3"/>
      <c r="G50" s="3"/>
      <c r="H50" s="3"/>
      <c r="I50" s="22" t="s">
        <v>63</v>
      </c>
      <c r="J50" s="3"/>
      <c r="K50" s="3"/>
      <c r="L50" s="3"/>
      <c r="M50" s="3"/>
      <c r="N50" s="3"/>
      <c r="O50" s="3"/>
    </row>
    <row r="51" ht="12.75" customHeight="1">
      <c r="B51" s="23" t="s">
        <v>64</v>
      </c>
      <c r="C51" s="23" t="s">
        <v>65</v>
      </c>
      <c r="D51" s="3"/>
      <c r="E51" s="3"/>
      <c r="F51" s="3"/>
      <c r="G51" s="3"/>
      <c r="H51" s="3"/>
      <c r="I51" s="23" t="s">
        <v>66</v>
      </c>
      <c r="J51" s="23" t="s">
        <v>67</v>
      </c>
      <c r="K51" s="3"/>
      <c r="L51" s="3"/>
      <c r="M51" s="3"/>
      <c r="N51" s="3"/>
      <c r="O51" s="3"/>
    </row>
    <row r="52" ht="12.75" customHeight="1">
      <c r="B52" s="24" t="s">
        <v>68</v>
      </c>
      <c r="C52" s="27" cm="1">
        <f t="array" ref="C52">MKT_16_Marketing_CPA!C6</f>
        <v>1151</v>
      </c>
      <c r="D52" s="3"/>
      <c r="E52" s="3"/>
      <c r="F52" s="3"/>
      <c r="G52" s="3"/>
      <c r="H52" s="3"/>
      <c r="I52" s="24" t="s">
        <v>69</v>
      </c>
      <c r="J52" s="28" cm="1">
        <f t="array" ref="J52">MKT_17_Attribution!E5</f>
        <v>425000</v>
      </c>
      <c r="K52" s="3"/>
      <c r="L52" s="3"/>
      <c r="M52" s="3"/>
      <c r="N52" s="3"/>
      <c r="O52" s="3"/>
    </row>
    <row r="53" ht="12.75" customHeight="1">
      <c r="B53" s="24" t="s">
        <v>70</v>
      </c>
      <c r="C53" s="27" cm="1">
        <f t="array" ref="C53">MKT_16_Marketing_CPA!E6</f>
        <v>401</v>
      </c>
      <c r="D53" s="3"/>
      <c r="E53" s="3"/>
      <c r="F53" s="3"/>
      <c r="G53" s="3"/>
      <c r="H53" s="3"/>
      <c r="I53" s="24" t="s">
        <v>71</v>
      </c>
      <c r="J53" s="28" cm="1">
        <f t="array" ref="J53">MKT_17_Attribution!E6</f>
        <v>320000</v>
      </c>
      <c r="K53" s="3"/>
      <c r="L53" s="3"/>
      <c r="M53" s="3"/>
      <c r="N53" s="3"/>
      <c r="O53" s="3"/>
    </row>
    <row r="54" ht="12.75" customHeight="1">
      <c r="B54" s="24" t="s">
        <v>72</v>
      </c>
      <c r="C54" s="27" cm="1">
        <f t="array" ref="C54">MKT_16_Marketing_CPA!F6</f>
        <v>59.8503740648379</v>
      </c>
      <c r="D54" s="3"/>
      <c r="E54" s="3"/>
      <c r="F54" s="3"/>
      <c r="G54" s="3"/>
      <c r="H54" s="3"/>
      <c r="I54" s="24" t="s">
        <v>73</v>
      </c>
      <c r="J54" s="28" cm="1">
        <f t="array" ref="J54">MKT_17_Attribution!E7</f>
        <v>285000</v>
      </c>
      <c r="K54" s="3"/>
      <c r="L54" s="3"/>
      <c r="M54" s="3"/>
      <c r="N54" s="3"/>
      <c r="O54" s="3"/>
    </row>
    <row r="55" ht="12.75" customHeight="1">
      <c r="B55" s="24" t="s">
        <v>74</v>
      </c>
      <c r="C55" s="27" cm="1">
        <f t="array" ref="C55">MKT_16_Marketing_CPA!G6</f>
        <v>104</v>
      </c>
      <c r="D55" s="3"/>
      <c r="E55" s="3"/>
      <c r="F55" s="3"/>
      <c r="G55" s="3"/>
      <c r="H55" s="3"/>
      <c r="I55" s="24" t="s">
        <v>75</v>
      </c>
      <c r="J55" s="28" cm="1">
        <f t="array" ref="J55">MKT_17_Attribution!E8</f>
        <v>195000</v>
      </c>
      <c r="K55" s="3"/>
      <c r="L55" s="3"/>
      <c r="M55" s="3"/>
      <c r="N55" s="3"/>
      <c r="O55" s="3"/>
    </row>
    <row r="56" ht="12.75" customHeight="1">
      <c r="B56" s="3"/>
      <c r="C56" s="3"/>
      <c r="D56" s="3"/>
      <c r="E56" s="3"/>
      <c r="F56" s="3"/>
      <c r="G56" s="3"/>
      <c r="H56" s="3"/>
      <c r="I56" s="24" t="s">
        <v>76</v>
      </c>
      <c r="J56" s="28" cm="1">
        <f t="array" ref="J56">MKT_17_Attribution!E9</f>
        <v>625000</v>
      </c>
      <c r="K56" s="3"/>
      <c r="L56" s="3"/>
      <c r="M56" s="3"/>
      <c r="N56" s="3"/>
      <c r="O56" s="3"/>
    </row>
    <row r="57" ht="15" customHeight="1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ht="15" customHeight="1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ht="15" customHeight="1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ht="18" customHeight="1">
      <c r="B60" s="9" t="s">
        <v>77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ht="13.5" customHeight="1">
      <c r="B61" s="29" t="s">
        <v>78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ht="15" customHeight="1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ht="15" customHeight="1">
      <c r="B63" s="18" t="s">
        <v>79</v>
      </c>
      <c r="C63" s="3"/>
      <c r="D63" s="3"/>
      <c r="E63" s="3"/>
      <c r="F63" s="3"/>
      <c r="G63" s="3"/>
      <c r="H63" s="3"/>
      <c r="I63" s="19" t="s">
        <v>80</v>
      </c>
      <c r="J63" s="3"/>
      <c r="K63" s="3"/>
      <c r="L63" s="3"/>
      <c r="M63" s="3"/>
    </row>
    <row r="64" ht="12.75" customHeight="1">
      <c r="B64" s="20" t="s">
        <v>19</v>
      </c>
      <c r="C64" s="30" t="s">
        <v>81</v>
      </c>
      <c r="D64" s="30" t="s">
        <v>82</v>
      </c>
      <c r="E64" s="30" t="s">
        <v>83</v>
      </c>
      <c r="F64" s="30" t="s">
        <v>84</v>
      </c>
      <c r="G64" s="30" t="s">
        <v>23</v>
      </c>
      <c r="H64" s="3"/>
      <c r="I64" s="20" t="s">
        <v>19</v>
      </c>
      <c r="J64" s="30" t="s">
        <v>85</v>
      </c>
      <c r="K64" s="30" t="s">
        <v>24</v>
      </c>
      <c r="L64" s="30" t="s">
        <v>86</v>
      </c>
      <c r="M64" s="30" t="s">
        <v>23</v>
      </c>
    </row>
    <row r="65" ht="13.5" customHeight="1">
      <c r="B65" s="21" t="s">
        <v>6</v>
      </c>
      <c r="C65" s="31" cm="1">
        <f t="array" ref="C65">CAP_21_Investor_Quarterly!B5</f>
        <v>13350000</v>
      </c>
      <c r="D65" s="31">
        <v>13500000</v>
      </c>
      <c r="E65" s="32">
        <f t="shared" si="0" ref="E65:E70">C65-D65</f>
        <v>-150000</v>
      </c>
      <c r="F65" s="33">
        <f t="shared" si="1" ref="F65:F70">IF(D65=0,0,(C65-D65)/D65)</f>
        <v>-0.0111111111111111</v>
      </c>
      <c r="G65" s="34" t="str">
        <f t="shared" si="2" ref="G65:G70">IF(F65&gt;=0,"✓ Fav","✗ Unfav")</f>
        <v>✗ Unfav</v>
      </c>
      <c r="H65" s="3"/>
      <c r="I65" s="21" t="s">
        <v>42</v>
      </c>
      <c r="J65" s="35" cm="1">
        <f t="array" ref="J65">OPS_11_Occupancy_Mix!D12</f>
        <v>0.952191235059761</v>
      </c>
      <c r="K65" s="35">
        <v>0.94</v>
      </c>
      <c r="L65" s="33">
        <f t="shared" si="3" ref="L65:L70">IF(K65=0,0,(J65-K65)/K65)</f>
        <v>0.0129693989997458</v>
      </c>
      <c r="M65" s="36" t="str">
        <f t="shared" si="4" ref="M65:M70">IF(L65&gt;=0,"✓","✗")</f>
        <v>✓</v>
      </c>
    </row>
    <row r="66" ht="13.5" customHeight="1">
      <c r="B66" s="21" t="s">
        <v>7</v>
      </c>
      <c r="C66" s="31" cm="1">
        <f t="array" ref="C66">CAP_21_Investor_Quarterly!B6</f>
        <v>8200000</v>
      </c>
      <c r="D66" s="31">
        <v>8100000</v>
      </c>
      <c r="E66" s="32">
        <f t="shared" si="0"/>
        <v>100000</v>
      </c>
      <c r="F66" s="33">
        <f t="shared" si="1"/>
        <v>0.0123456790123457</v>
      </c>
      <c r="G66" s="37" t="str">
        <f t="shared" si="2"/>
        <v>✓ Fav</v>
      </c>
      <c r="H66" s="3"/>
      <c r="I66" s="21" t="s">
        <v>28</v>
      </c>
      <c r="J66" s="38" cm="1">
        <f t="array" ref="J66">OPS_11_Occupancy_Mix!G12</f>
        <v>1814.37238493724</v>
      </c>
      <c r="K66" s="38">
        <v>1780</v>
      </c>
      <c r="L66" s="33">
        <f t="shared" si="3"/>
        <v>0.019310328616427</v>
      </c>
      <c r="M66" s="36" t="str">
        <f t="shared" si="4"/>
        <v>✓</v>
      </c>
    </row>
    <row r="67" ht="13.5" customHeight="1">
      <c r="B67" s="21" t="s">
        <v>8</v>
      </c>
      <c r="C67" s="35" cm="1">
        <f t="array" ref="C67">CAP_21_Investor_Quarterly!B7</f>
        <v>0.614</v>
      </c>
      <c r="D67" s="35">
        <v>0.6</v>
      </c>
      <c r="E67" s="33">
        <f t="shared" si="0"/>
        <v>0.014</v>
      </c>
      <c r="F67" s="33">
        <f t="shared" si="1"/>
        <v>0.0233333333333334</v>
      </c>
      <c r="G67" s="37" t="str">
        <f t="shared" si="2"/>
        <v>✓ Fav</v>
      </c>
      <c r="H67" s="3"/>
      <c r="I67" s="21" t="s">
        <v>31</v>
      </c>
      <c r="J67" s="35" cm="1">
        <f t="array" ref="J67">OPS_12_Renewal_Retention!D10</f>
        <v>0.727272727272727</v>
      </c>
      <c r="K67" s="35">
        <v>0.7</v>
      </c>
      <c r="L67" s="33">
        <f t="shared" si="3"/>
        <v>0.0389610389610386</v>
      </c>
      <c r="M67" s="36" t="str">
        <f t="shared" si="4"/>
        <v>✓</v>
      </c>
    </row>
    <row r="68" ht="13.5" customHeight="1">
      <c r="B68" s="21" t="s">
        <v>10</v>
      </c>
      <c r="C68" s="31" cm="1">
        <f t="array" ref="C68">CAP_21_Investor_Quarterly!B10</f>
        <v>7050000</v>
      </c>
      <c r="D68" s="31">
        <v>6800000</v>
      </c>
      <c r="E68" s="32">
        <f t="shared" si="0"/>
        <v>250000</v>
      </c>
      <c r="F68" s="33">
        <f t="shared" si="1"/>
        <v>0.0367647058823529</v>
      </c>
      <c r="G68" s="37" t="str">
        <f t="shared" si="2"/>
        <v>✓ Fav</v>
      </c>
      <c r="H68" s="3"/>
      <c r="I68" s="21" t="s">
        <v>33</v>
      </c>
      <c r="J68" s="35" cm="1">
        <f t="array" ref="J68">OPS_12_Renewal_Retention!H13</f>
        <v>0.695833333333333</v>
      </c>
      <c r="K68" s="35">
        <v>0.68</v>
      </c>
      <c r="L68" s="33">
        <f t="shared" si="3"/>
        <v>0.0232843137254896</v>
      </c>
      <c r="M68" s="36" t="str">
        <f t="shared" si="4"/>
        <v>✓</v>
      </c>
    </row>
    <row r="69" ht="13.5" customHeight="1">
      <c r="B69" s="21" t="s">
        <v>89</v>
      </c>
      <c r="C69" s="39" cm="1">
        <f t="array" ref="C69">CAP_21_Investor_Quarterly!B11</f>
        <v>0.14</v>
      </c>
      <c r="D69" s="39">
        <v>0.136</v>
      </c>
      <c r="E69" s="33">
        <f t="shared" si="0"/>
        <v>0.004</v>
      </c>
      <c r="F69" s="33">
        <f t="shared" si="1"/>
        <v>0.0294117647058824</v>
      </c>
      <c r="G69" s="37" t="str">
        <f t="shared" si="2"/>
        <v>✓ Fav</v>
      </c>
      <c r="H69" s="3"/>
      <c r="I69" s="21" t="s">
        <v>35</v>
      </c>
      <c r="J69" s="40" cm="1">
        <f t="array" ref="J69">OPS_14_Maintenance_WO!E11</f>
        <v>19.3925093632959</v>
      </c>
      <c r="K69" s="40">
        <v>24</v>
      </c>
      <c r="L69" s="33">
        <f>IF(K69=0,0,(K69-J69)/K69)</f>
        <v>0.191978776529337</v>
      </c>
      <c r="M69" s="36" t="str">
        <f t="shared" si="4"/>
        <v>✓</v>
      </c>
    </row>
    <row r="70" ht="13.5" customHeight="1">
      <c r="B70" s="21" t="s">
        <v>34</v>
      </c>
      <c r="C70" s="41" cm="1">
        <f t="array" ref="C70">CAP_21_Investor_Quarterly!B12</f>
        <v>1.52</v>
      </c>
      <c r="D70" s="41">
        <v>1.45</v>
      </c>
      <c r="E70" s="33">
        <f t="shared" si="0"/>
        <v>0.07</v>
      </c>
      <c r="F70" s="33">
        <f t="shared" si="1"/>
        <v>0.0482758620689656</v>
      </c>
      <c r="G70" s="37" t="str">
        <f t="shared" si="2"/>
        <v>✓ Fav</v>
      </c>
      <c r="H70" s="3"/>
      <c r="I70" s="21" t="s">
        <v>90</v>
      </c>
      <c r="J70" s="35" cm="1">
        <f t="array" ref="J70">OPS_14_Maintenance_WO!E15</f>
        <v>0.952380952380952</v>
      </c>
      <c r="K70" s="35">
        <v>0.95</v>
      </c>
      <c r="L70" s="33">
        <f t="shared" si="3"/>
        <v>0.00250626566416004</v>
      </c>
      <c r="M70" s="36" t="str">
        <f t="shared" si="4"/>
        <v>✓</v>
      </c>
    </row>
    <row r="71" ht="15" customHeight="1"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</row>
    <row r="72" ht="15" customHeight="1">
      <c r="B72" s="43" t="s">
        <v>91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ht="12.75" customHeight="1">
      <c r="B73" s="20" t="s">
        <v>92</v>
      </c>
      <c r="C73" s="20"/>
      <c r="D73" s="20" t="s">
        <v>93</v>
      </c>
      <c r="E73" s="20"/>
      <c r="F73" s="20"/>
      <c r="G73" s="20"/>
      <c r="H73" s="20"/>
      <c r="I73" s="20"/>
      <c r="J73" s="20"/>
      <c r="K73" s="20"/>
      <c r="L73" s="20"/>
      <c r="M73" s="20"/>
    </row>
    <row r="74" ht="13.5" customHeight="1">
      <c r="B74" s="44" t="s">
        <v>67</v>
      </c>
      <c r="C74" s="45" t="s">
        <v>94</v>
      </c>
      <c r="D74" s="21" t="s">
        <v>95</v>
      </c>
      <c r="E74" s="21"/>
      <c r="F74" s="21"/>
      <c r="G74" s="21"/>
      <c r="H74" s="21"/>
      <c r="I74" s="21"/>
      <c r="J74" s="21"/>
      <c r="K74" s="21"/>
      <c r="L74" s="21"/>
      <c r="M74" s="21"/>
    </row>
    <row r="75" ht="13.5" customHeight="1">
      <c r="B75" s="44" t="s">
        <v>96</v>
      </c>
      <c r="C75" s="36" t="s">
        <v>27</v>
      </c>
      <c r="D75" s="21" t="s">
        <v>97</v>
      </c>
      <c r="E75" s="21"/>
      <c r="F75" s="21"/>
      <c r="G75" s="21"/>
      <c r="H75" s="21"/>
      <c r="I75" s="21"/>
      <c r="J75" s="21"/>
      <c r="K75" s="21"/>
      <c r="L75" s="21"/>
      <c r="M75" s="21"/>
    </row>
    <row r="76" ht="13.5" customHeight="1">
      <c r="B76" s="44" t="s">
        <v>42</v>
      </c>
      <c r="C76" s="36" t="s">
        <v>27</v>
      </c>
      <c r="D76" s="21" t="s">
        <v>98</v>
      </c>
      <c r="E76" s="21"/>
      <c r="F76" s="21"/>
      <c r="G76" s="21"/>
      <c r="H76" s="21"/>
      <c r="I76" s="21"/>
      <c r="J76" s="21"/>
      <c r="K76" s="21"/>
      <c r="L76" s="21"/>
      <c r="M76" s="21"/>
    </row>
    <row r="77" ht="13.5" customHeight="1">
      <c r="B77" s="44" t="s">
        <v>99</v>
      </c>
      <c r="C77" s="36" t="s">
        <v>27</v>
      </c>
      <c r="D77" s="21" t="s">
        <v>100</v>
      </c>
      <c r="E77" s="21"/>
      <c r="F77" s="21"/>
      <c r="G77" s="21"/>
      <c r="H77" s="21"/>
      <c r="I77" s="21"/>
      <c r="J77" s="21"/>
      <c r="K77" s="21"/>
      <c r="L77" s="21"/>
      <c r="M77" s="21"/>
    </row>
    <row r="78" ht="13.5" customHeight="1">
      <c r="B78" s="44" t="s">
        <v>101</v>
      </c>
      <c r="C78" s="36" t="s">
        <v>27</v>
      </c>
      <c r="D78" s="21" t="s">
        <v>102</v>
      </c>
      <c r="E78" s="21"/>
      <c r="F78" s="21"/>
      <c r="G78" s="21"/>
      <c r="H78" s="21"/>
      <c r="I78" s="21"/>
      <c r="J78" s="21"/>
      <c r="K78" s="21"/>
      <c r="L78" s="21"/>
      <c r="M78" s="21"/>
    </row>
    <row r="79" ht="13.5" customHeight="1">
      <c r="B79" s="44" t="s">
        <v>103</v>
      </c>
      <c r="C79" s="45" t="s">
        <v>94</v>
      </c>
      <c r="D79" s="21" t="s">
        <v>104</v>
      </c>
      <c r="E79" s="21"/>
      <c r="F79" s="21"/>
      <c r="G79" s="21"/>
      <c r="H79" s="21"/>
      <c r="I79" s="21"/>
      <c r="J79" s="21"/>
      <c r="K79" s="21"/>
      <c r="L79" s="21"/>
      <c r="M79" s="21"/>
    </row>
    <row r="80" ht="13.5" customHeight="1">
      <c r="B80" s="46" t="s">
        <v>105</v>
      </c>
      <c r="C80" s="47"/>
      <c r="D80" s="48" t="s">
        <v>106</v>
      </c>
      <c r="E80" s="47"/>
      <c r="F80" s="47"/>
      <c r="G80" s="48" t="s">
        <v>107</v>
      </c>
      <c r="H80" s="47"/>
      <c r="I80" s="47"/>
      <c r="J80" s="49" t="s">
        <v>108</v>
      </c>
      <c r="K80" s="47"/>
      <c r="L80" s="47"/>
      <c r="M80" s="47"/>
    </row>
    <row r="82" ht="18" customHeight="1">
      <c r="B82" s="9" t="s">
        <v>109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ht="15" customHeight="1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ht="15" customHeight="1">
      <c r="B84" s="50" t="s">
        <v>110</v>
      </c>
      <c r="C84" s="3"/>
      <c r="D84" s="3"/>
      <c r="E84" s="3"/>
      <c r="F84" s="3"/>
      <c r="G84" s="3"/>
      <c r="H84" s="3"/>
      <c r="I84" s="51" t="s">
        <v>111</v>
      </c>
      <c r="J84" s="3"/>
      <c r="K84" s="3"/>
      <c r="L84" s="3"/>
      <c r="M84" s="3"/>
      <c r="N84" s="3"/>
      <c r="O84" s="3"/>
    </row>
    <row r="85" ht="12.75" customHeight="1">
      <c r="B85" s="20" t="s">
        <v>112</v>
      </c>
      <c r="C85" s="20" t="s">
        <v>113</v>
      </c>
      <c r="D85" s="20" t="s">
        <v>114</v>
      </c>
      <c r="E85" s="20" t="s">
        <v>115</v>
      </c>
      <c r="F85" s="20" t="s">
        <v>116</v>
      </c>
      <c r="G85" s="20" t="s">
        <v>23</v>
      </c>
      <c r="H85" s="3"/>
      <c r="I85" s="20" t="s">
        <v>117</v>
      </c>
      <c r="J85" s="20" t="s">
        <v>23</v>
      </c>
      <c r="K85" s="20"/>
      <c r="L85" s="20" t="s">
        <v>118</v>
      </c>
      <c r="M85" s="20"/>
      <c r="N85" s="20"/>
      <c r="O85" s="3"/>
    </row>
    <row r="86" ht="12.75" customHeight="1">
      <c r="B86" s="21" cm="1" t="str">
        <f t="array" ref="B86">FIN_07_Debt_Covenant!A5</f>
        <v>Debt Service Coverage Ratio</v>
      </c>
      <c r="C86" s="21" cm="1" t="str">
        <f t="array" ref="C86">FIN_07_Debt_Covenant!B5</f>
        <v>Minimum</v>
      </c>
      <c r="D86" s="21" cm="1">
        <f t="array" ref="D86">FIN_07_Debt_Covenant!C5</f>
        <v>1.25</v>
      </c>
      <c r="E86" s="21" cm="1">
        <f t="array" ref="E86">FIN_07_Debt_Covenant!D5</f>
        <v>1.52</v>
      </c>
      <c r="F86" s="21" cm="1">
        <f t="array" ref="F86">FIN_07_Debt_Covenant!E5</f>
        <v>0.27</v>
      </c>
      <c r="G86" s="21" cm="1" t="str">
        <f t="array" ref="G86">FIN_07_Debt_Covenant!F5</f>
        <v>✓ PASS</v>
      </c>
      <c r="H86" s="3"/>
      <c r="I86" s="21" t="s">
        <v>122</v>
      </c>
      <c r="J86" s="52" t="s">
        <v>123</v>
      </c>
      <c r="K86" s="21"/>
      <c r="L86" s="21" t="s">
        <v>124</v>
      </c>
      <c r="M86" s="21"/>
      <c r="N86" s="21"/>
      <c r="O86" s="3"/>
    </row>
    <row r="87" ht="12.75" customHeight="1">
      <c r="B87" s="21" cm="1" t="str">
        <f t="array" ref="B87">FIN_07_Debt_Covenant!A6</f>
        <v>Loan-to-Value</v>
      </c>
      <c r="C87" s="21" cm="1" t="str">
        <f t="array" ref="C87">FIN_07_Debt_Covenant!B6</f>
        <v>Maximum</v>
      </c>
      <c r="D87" s="21" cm="1">
        <f t="array" ref="D87">FIN_07_Debt_Covenant!C6</f>
        <v>0.75</v>
      </c>
      <c r="E87" s="21" cm="1">
        <f t="array" ref="E87">FIN_07_Debt_Covenant!D6</f>
        <v>0.58</v>
      </c>
      <c r="F87" s="21" cm="1">
        <f t="array" ref="F87">FIN_07_Debt_Covenant!E6</f>
        <v>0.17</v>
      </c>
      <c r="G87" s="21" cm="1" t="str">
        <f t="array" ref="G87">FIN_07_Debt_Covenant!F6</f>
        <v>✓ PASS</v>
      </c>
      <c r="H87" s="3"/>
      <c r="I87" s="21" t="s">
        <v>127</v>
      </c>
      <c r="J87" s="53" t="s">
        <v>128</v>
      </c>
      <c r="K87" s="21"/>
      <c r="L87" s="21" t="s">
        <v>129</v>
      </c>
      <c r="M87" s="21"/>
      <c r="N87" s="21"/>
      <c r="O87" s="3"/>
    </row>
    <row r="88" ht="12.75" customHeight="1">
      <c r="B88" s="21" cm="1" t="str">
        <f t="array" ref="B88">FIN_07_Debt_Covenant!A7</f>
        <v>Debt Yield</v>
      </c>
      <c r="C88" s="21" cm="1" t="str">
        <f t="array" ref="C88">FIN_07_Debt_Covenant!B7</f>
        <v>Minimum</v>
      </c>
      <c r="D88" s="21" cm="1">
        <f t="array" ref="D88">FIN_07_Debt_Covenant!C7</f>
        <v>0.08</v>
      </c>
      <c r="E88" s="21" cm="1">
        <f t="array" ref="E88">FIN_07_Debt_Covenant!D7</f>
        <v>0.092</v>
      </c>
      <c r="F88" s="21" cm="1">
        <f t="array" ref="F88">FIN_07_Debt_Covenant!E7</f>
        <v>0.012</v>
      </c>
      <c r="G88" s="21" cm="1" t="str">
        <f t="array" ref="G88">FIN_07_Debt_Covenant!F7</f>
        <v>✓ PASS</v>
      </c>
      <c r="H88" s="3"/>
      <c r="I88" s="21" t="s">
        <v>131</v>
      </c>
      <c r="J88" s="53" t="s">
        <v>132</v>
      </c>
      <c r="K88" s="21"/>
      <c r="L88" s="21" t="s">
        <v>133</v>
      </c>
      <c r="M88" s="21"/>
      <c r="N88" s="21"/>
      <c r="O88" s="3"/>
    </row>
    <row r="89" ht="12.75" customHeight="1">
      <c r="B89" s="21" cm="1" t="str">
        <f t="array" ref="B89">FIN_07_Debt_Covenant!A8</f>
        <v>Interest Coverage Ratio</v>
      </c>
      <c r="C89" s="21" cm="1" t="str">
        <f t="array" ref="C89">FIN_07_Debt_Covenant!B8</f>
        <v>Minimum</v>
      </c>
      <c r="D89" s="21" cm="1">
        <f t="array" ref="D89">FIN_07_Debt_Covenant!C8</f>
        <v>1.5</v>
      </c>
      <c r="E89" s="21" cm="1">
        <f t="array" ref="E89">FIN_07_Debt_Covenant!D8</f>
        <v>1.85</v>
      </c>
      <c r="F89" s="21" cm="1">
        <f t="array" ref="F89">FIN_07_Debt_Covenant!E8</f>
        <v>0.35</v>
      </c>
      <c r="G89" s="21" cm="1" t="str">
        <f t="array" ref="G89">FIN_07_Debt_Covenant!F8</f>
        <v>✓ PASS</v>
      </c>
      <c r="H89" s="3"/>
      <c r="I89" s="21" t="s">
        <v>135</v>
      </c>
      <c r="J89" s="53" t="s">
        <v>136</v>
      </c>
      <c r="K89" s="21"/>
      <c r="L89" s="21" t="s">
        <v>137</v>
      </c>
      <c r="M89" s="21"/>
      <c r="N89" s="21"/>
      <c r="O89" s="3"/>
    </row>
    <row r="90" ht="12.75" customHeight="1">
      <c r="B90" s="21" cm="1" t="str">
        <f t="array" ref="B90">FIN_07_Debt_Covenant!A9</f>
        <v>Net Worth Minimum</v>
      </c>
      <c r="C90" s="21" cm="1" t="str">
        <f t="array" ref="C90">FIN_07_Debt_Covenant!B9</f>
        <v>Minimum</v>
      </c>
      <c r="D90" s="21" cm="1">
        <f t="array" ref="D90">FIN_07_Debt_Covenant!C9</f>
        <v>15000000</v>
      </c>
      <c r="E90" s="21" cm="1">
        <f t="array" ref="E90">FIN_07_Debt_Covenant!D9</f>
        <v>22500000</v>
      </c>
      <c r="F90" s="21" cm="1">
        <f t="array" ref="F90">FIN_07_Debt_Covenant!E9</f>
        <v>7500000</v>
      </c>
      <c r="G90" s="21" cm="1" t="str">
        <f t="array" ref="G90">FIN_07_Debt_Covenant!F9</f>
        <v>✓ PASS</v>
      </c>
      <c r="H90" s="3"/>
      <c r="I90" s="21" t="s">
        <v>139</v>
      </c>
      <c r="J90" s="52" t="s">
        <v>140</v>
      </c>
      <c r="K90" s="21"/>
      <c r="L90" s="21" t="s">
        <v>141</v>
      </c>
      <c r="M90" s="21"/>
      <c r="N90" s="21"/>
      <c r="O90" s="3"/>
    </row>
    <row r="91" ht="12.75" customHeight="1">
      <c r="B91" s="21" cm="1" t="str">
        <f t="array" ref="B91">FIN_07_Debt_Covenant!A10</f>
        <v>Liquidity Requirement</v>
      </c>
      <c r="C91" s="21" cm="1" t="str">
        <f t="array" ref="C91">FIN_07_Debt_Covenant!B10</f>
        <v>Minimum</v>
      </c>
      <c r="D91" s="21" cm="1">
        <f t="array" ref="D91">FIN_07_Debt_Covenant!C10</f>
        <v>2000000</v>
      </c>
      <c r="E91" s="21" cm="1">
        <f t="array" ref="E91">FIN_07_Debt_Covenant!D10</f>
        <v>3852200</v>
      </c>
      <c r="F91" s="21" cm="1">
        <f t="array" ref="F91">FIN_07_Debt_Covenant!E10</f>
        <v>1852200</v>
      </c>
      <c r="G91" s="21" cm="1" t="str">
        <f t="array" ref="G91">FIN_07_Debt_Covenant!F10</f>
        <v>✓ PASS</v>
      </c>
      <c r="H91" s="3"/>
      <c r="I91" s="21" t="s">
        <v>143</v>
      </c>
      <c r="J91" s="52" t="s">
        <v>144</v>
      </c>
      <c r="K91" s="21"/>
      <c r="L91" s="21" t="s">
        <v>145</v>
      </c>
      <c r="M91" s="21"/>
      <c r="N91" s="21"/>
      <c r="O91" s="3"/>
    </row>
    <row r="92" ht="12.75" customHeight="1">
      <c r="B92" s="21" cm="1" t="str">
        <f t="array" ref="B92">FIN_07_Debt_Covenant!A11</f>
        <v>Occupancy Minimum</v>
      </c>
      <c r="C92" s="21" cm="1" t="str">
        <f t="array" ref="C92">FIN_07_Debt_Covenant!B11</f>
        <v>Minimum</v>
      </c>
      <c r="D92" s="21" cm="1">
        <f t="array" ref="D92">FIN_07_Debt_Covenant!C11</f>
        <v>0.9</v>
      </c>
      <c r="E92" s="21" cm="1">
        <f t="array" ref="E92">FIN_07_Debt_Covenant!D11</f>
        <v>0.952</v>
      </c>
      <c r="F92" s="21" cm="1">
        <f t="array" ref="F92">FIN_07_Debt_Covenant!E11</f>
        <v>0.052</v>
      </c>
      <c r="G92" s="21" cm="1" t="str">
        <f t="array" ref="G92">FIN_07_Debt_Covenant!F11</f>
        <v>✓ PASS</v>
      </c>
      <c r="H92" s="3"/>
      <c r="I92" s="3"/>
      <c r="J92" s="3"/>
      <c r="K92" s="3"/>
      <c r="L92" s="3"/>
      <c r="M92" s="3"/>
      <c r="N92" s="3"/>
      <c r="O92" s="3"/>
    </row>
    <row r="93" ht="15" customHeight="1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ht="15" customHeight="1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ht="15" customHeight="1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ht="13.5" customHeight="1">
      <c r="B96" s="54" t="s">
        <v>147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ht="12.75" customHeight="1">
      <c r="B97" s="55" t="str">
        <f>"Prepared: "&amp;TEXT(NOW(),"mmmm d, yyyy")&amp;" at "&amp;TEXT(NOW(),"h:mm AM/PM")</f>
        <v>Prepared: January 12, 2026 at 9:41 AM</v>
      </c>
      <c r="C97" s="8"/>
      <c r="D97" s="8"/>
      <c r="E97" s="8"/>
      <c r="F97" s="8"/>
      <c r="G97" s="8"/>
      <c r="H97" s="8"/>
      <c r="I97" s="56" t="s">
        <v>149</v>
      </c>
      <c r="J97" s="8"/>
      <c r="K97" s="8"/>
      <c r="L97" s="8"/>
      <c r="M97" s="8"/>
      <c r="N97" s="8"/>
      <c r="O97" s="8"/>
    </row>
  </sheetData>
  <mergeCells>
    <mergeCell ref="B2:O2"/>
    <mergeCell ref="B4:O4"/>
    <mergeCell ref="B6:O6"/>
    <mergeCell ref="B8:O8"/>
    <mergeCell ref="B10:O10"/>
    <mergeCell ref="B12:O12"/>
    <mergeCell ref="B14:O14"/>
    <mergeCell ref="B16:C16"/>
    <mergeCell ref="B17:C17"/>
    <mergeCell ref="D16:E16"/>
    <mergeCell ref="D17:E17"/>
    <mergeCell ref="F16:G16"/>
    <mergeCell ref="F17:G17"/>
    <mergeCell ref="H16:I16"/>
    <mergeCell ref="H17:I17"/>
    <mergeCell ref="J16:K16"/>
    <mergeCell ref="J17:K17"/>
    <mergeCell ref="L16:M16"/>
    <mergeCell ref="L17:M17"/>
    <mergeCell ref="B18:C18"/>
    <mergeCell ref="D18:E18"/>
    <mergeCell ref="F18:G18"/>
    <mergeCell ref="H18:I18"/>
    <mergeCell ref="J18:K18"/>
    <mergeCell ref="L18:M18"/>
    <mergeCell ref="B20:O20"/>
    <mergeCell ref="B22:H22"/>
    <mergeCell ref="C23:D23"/>
    <mergeCell ref="C24:D24"/>
    <mergeCell ref="C25:D25"/>
    <mergeCell ref="C26:D26"/>
    <mergeCell ref="C27:D27"/>
    <mergeCell ref="C28:D28"/>
    <mergeCell ref="C29:D29"/>
    <mergeCell ref="I22:N22"/>
    <mergeCell ref="J23:K23"/>
    <mergeCell ref="J24:K24"/>
    <mergeCell ref="J25:K25"/>
    <mergeCell ref="J26:K26"/>
    <mergeCell ref="J27:K27"/>
    <mergeCell ref="J28:K28"/>
    <mergeCell ref="J29:K29"/>
    <mergeCell ref="B32:O32"/>
    <mergeCell ref="B34:H34"/>
    <mergeCell ref="I34:N34"/>
    <mergeCell ref="B50:H50"/>
    <mergeCell ref="I50:N50"/>
    <mergeCell ref="B82:O82"/>
    <mergeCell ref="B84:H84"/>
    <mergeCell ref="I84:N84"/>
    <mergeCell ref="J85:K85"/>
    <mergeCell ref="L85:N85"/>
    <mergeCell ref="J86:K86"/>
    <mergeCell ref="L86:N86"/>
    <mergeCell ref="J87:K87"/>
    <mergeCell ref="L87:N87"/>
    <mergeCell ref="J88:K88"/>
    <mergeCell ref="L88:N88"/>
    <mergeCell ref="J89:K89"/>
    <mergeCell ref="L89:N89"/>
    <mergeCell ref="J90:K90"/>
    <mergeCell ref="L90:N90"/>
    <mergeCell ref="J91:K91"/>
    <mergeCell ref="L91:N91"/>
    <mergeCell ref="B96:O96"/>
    <mergeCell ref="B97:H97"/>
    <mergeCell ref="I97:N97"/>
    <mergeCell ref="B60:N60"/>
    <mergeCell ref="B61:N61"/>
    <mergeCell ref="B63:H63"/>
    <mergeCell ref="I63:M63"/>
    <mergeCell ref="B72:N72"/>
    <mergeCell ref="D73:M73"/>
    <mergeCell ref="D74:M74"/>
    <mergeCell ref="D75:M75"/>
    <mergeCell ref="D76:M76"/>
    <mergeCell ref="D77:M77"/>
    <mergeCell ref="D78:M78"/>
    <mergeCell ref="D79:M79"/>
    <mergeCell ref="J80:M80"/>
  </mergeCell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drawing r:id="rId1"/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B2BA148-DE88-1B38-45DE-8E3D5619E098}" mc:Ignorable="x14ac xr xr2 xr3">
  <dimension ref="A1:GR50000"/>
  <sheetViews>
    <sheetView showGridLines="0" topLeftCell="B1" workbookViewId="0">
      <selection activeCell="D23" sqref="D23"/>
    </sheetView>
  </sheetViews>
  <sheetFormatPr defaultRowHeight="15" defaultColWidth="7.75390625" customHeight="1"/>
  <cols>
    <col min="1" max="1" width="2.50390625" customWidth="1"/>
    <col min="2" max="14" width="11.875" customWidth="1"/>
    <col min="15" max="15" width="2.50390625" customWidth="1"/>
  </cols>
  <sheetData>
    <row r="1" ht="23.25" customHeight="1">
      <c r="B1" s="57" t="s">
        <v>150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</row>
    <row r="2" ht="15" customHeight="1">
      <c r="B2" s="59" t="str">
        <f>TEXT(TODAY(),"mmmm d, yyyy")</f>
        <v>January 12, 2026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ht="15" customHeight="1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</row>
    <row r="4" ht="15.75" customHeight="1">
      <c r="B4" s="60" t="s">
        <v>152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ht="15" customHeight="1"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</row>
    <row r="6" ht="13.5" customHeight="1">
      <c r="B6" s="62" t="s">
        <v>10</v>
      </c>
      <c r="C6" s="61"/>
      <c r="D6" s="62" t="s">
        <v>153</v>
      </c>
      <c r="E6" s="61"/>
      <c r="F6" s="62" t="s">
        <v>6</v>
      </c>
      <c r="G6" s="61"/>
      <c r="H6" s="62" t="s">
        <v>139</v>
      </c>
      <c r="I6" s="61"/>
      <c r="J6" s="62" t="s">
        <v>34</v>
      </c>
      <c r="K6" s="61"/>
      <c r="L6" s="62" t="s">
        <v>154</v>
      </c>
      <c r="M6" s="61"/>
      <c r="N6" s="61"/>
    </row>
    <row r="7" ht="21" customHeight="1">
      <c r="B7" s="63">
        <f>_xlfn.IFERROR(FIN_01_Investor_Pack!L7,"—")</f>
        <v>0.00714285714285714</v>
      </c>
      <c r="C7" s="61"/>
      <c r="D7" s="63">
        <f>_xlfn.IFERROR(FIN_01_Investor_Pack!L10,"—")</f>
        <v>0.0211706102117061</v>
      </c>
      <c r="E7" s="61"/>
      <c r="F7" s="63">
        <f>_xlfn.IFERROR(CAP_21_Investor_Quarterly!B5,"—")</f>
        <v>13350000</v>
      </c>
      <c r="G7" s="61"/>
      <c r="H7" s="63">
        <f>_xlfn.IFERROR(FIN_05_Cash_Flow!Q8,"—")</f>
        <v>3852200</v>
      </c>
      <c r="I7" s="61"/>
      <c r="J7" s="64">
        <f>_xlfn.IFERROR(FIN_07_Debt_Covenant!D5,"—")</f>
        <v>1.52</v>
      </c>
      <c r="K7" s="61"/>
      <c r="L7" s="63">
        <f>_xlfn.IFERROR(FIN_08_AR_Bad_Debt!I4,"—")</f>
        <v>206500</v>
      </c>
      <c r="M7" s="61"/>
      <c r="N7" s="61"/>
    </row>
    <row r="8" ht="15" customHeight="1"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</row>
    <row r="9" ht="15" customHeight="1"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</row>
    <row r="10" ht="15.75" customHeight="1">
      <c r="B10" s="66" t="s">
        <v>155</v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ht="15" customHeight="1"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</row>
    <row r="12" ht="13.5" customHeight="1">
      <c r="B12" s="62" t="s">
        <v>42</v>
      </c>
      <c r="C12" s="61"/>
      <c r="D12" s="62" t="s">
        <v>28</v>
      </c>
      <c r="E12" s="61"/>
      <c r="F12" s="62" t="s">
        <v>31</v>
      </c>
      <c r="G12" s="61"/>
      <c r="H12" s="62" t="s">
        <v>156</v>
      </c>
      <c r="I12" s="61"/>
      <c r="J12" s="62" t="s">
        <v>157</v>
      </c>
      <c r="K12" s="61"/>
      <c r="L12" s="62" t="s">
        <v>158</v>
      </c>
      <c r="M12" s="61"/>
      <c r="N12" s="61"/>
    </row>
    <row r="13" ht="21" customHeight="1">
      <c r="B13" s="67">
        <f>_xlfn.IFERROR(OPS_11_Occupancy_Mix!D12,"—")</f>
        <v>0.952191235059761</v>
      </c>
      <c r="C13" s="61"/>
      <c r="D13" s="68">
        <f>_xlfn.IFERROR(OPS_11_Occupancy_Mix!G12,"—")</f>
        <v>1814.37238493724</v>
      </c>
      <c r="E13" s="61"/>
      <c r="F13" s="67">
        <f>_xlfn.IFERROR(OPS_12_Renewal_Retention!H13,"—")</f>
        <v>0.695833333333333</v>
      </c>
      <c r="G13" s="61"/>
      <c r="H13" s="69">
        <f>_xlfn.IFERROR(OPS_13_Turnover_MakeReady!K5,"—")</f>
        <v>0.0756972111553785</v>
      </c>
      <c r="I13" s="61"/>
      <c r="J13" s="70">
        <f>_xlfn.IFERROR(OPS_14_Maintenance_WO!J4,"—")</f>
        <v>64</v>
      </c>
      <c r="K13" s="61"/>
      <c r="L13" s="70">
        <f>_xlfn.IFERROR(OPS_15_Resident_NPS!I4,"—")</f>
        <v>0.478991596638655</v>
      </c>
      <c r="M13" s="61"/>
      <c r="N13" s="61"/>
    </row>
    <row r="14" ht="15" customHeight="1"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</row>
    <row r="15" ht="15" customHeight="1"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</row>
    <row r="16" ht="15.75" customHeight="1">
      <c r="B16" s="71" t="s">
        <v>159</v>
      </c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</row>
    <row r="17" ht="15" customHeight="1"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</row>
    <row r="18" ht="13.5" customHeight="1">
      <c r="B18" s="62" t="s">
        <v>160</v>
      </c>
      <c r="C18" s="61"/>
      <c r="D18" s="62" t="s">
        <v>161</v>
      </c>
      <c r="E18" s="61"/>
      <c r="F18" s="62" t="s">
        <v>162</v>
      </c>
      <c r="G18" s="61"/>
      <c r="H18" s="62" t="s">
        <v>163</v>
      </c>
      <c r="I18" s="61"/>
      <c r="J18" s="62" t="s">
        <v>164</v>
      </c>
      <c r="K18" s="61"/>
      <c r="L18" s="62" t="s">
        <v>165</v>
      </c>
      <c r="M18" s="61"/>
      <c r="N18" s="61"/>
    </row>
    <row r="19" ht="21" customHeight="1">
      <c r="B19" s="72">
        <f>_xlfn.IFERROR(MKT_16_Marketing_CPA!B16,"—")</f>
        <v>800</v>
      </c>
      <c r="C19" s="61"/>
      <c r="D19" s="73">
        <f>_xlfn.IFERROR(MKT_16_Marketing_CPA!C16,"—")</f>
        <v>42</v>
      </c>
      <c r="E19" s="61"/>
      <c r="F19" s="74">
        <f>_xlfn.IFERROR(MKT_16_Marketing_CPA!H16,"—")</f>
        <v>266.666666666667</v>
      </c>
      <c r="G19" s="61"/>
      <c r="H19" s="73">
        <f>_xlfn.IFERROR(MKT_16_Marketing_CPA!G16,"—")</f>
        <v>3</v>
      </c>
      <c r="I19" s="61"/>
      <c r="J19" s="72">
        <f>_xlfn.IFERROR(MKT_17_Attribution!E12,"—")</f>
        <v>2060000</v>
      </c>
      <c r="K19" s="61"/>
      <c r="L19" s="75">
        <f>_xlfn.IFERROR(MKT_17_Attribution!F12,"—")</f>
        <v>85.8333333333333</v>
      </c>
      <c r="M19" s="61"/>
      <c r="N19" s="61"/>
    </row>
    <row r="20" ht="15" customHeight="1"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</row>
    <row r="21" ht="15" customHeight="1"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</row>
    <row r="22" ht="15.75" customHeight="1">
      <c r="B22" s="76" t="s">
        <v>166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</row>
    <row r="23" ht="15" customHeight="1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</row>
    <row r="24" ht="13.5" customHeight="1">
      <c r="B24" s="62" t="s">
        <v>167</v>
      </c>
      <c r="C24" s="61"/>
      <c r="D24" s="62" t="s">
        <v>168</v>
      </c>
      <c r="E24" s="61"/>
      <c r="F24" s="62" t="s">
        <v>169</v>
      </c>
      <c r="G24" s="61"/>
      <c r="H24" s="62" t="s">
        <v>170</v>
      </c>
      <c r="I24" s="61"/>
      <c r="J24" s="62" t="s">
        <v>171</v>
      </c>
      <c r="K24" s="61"/>
      <c r="L24" s="62" t="s">
        <v>172</v>
      </c>
      <c r="M24" s="61"/>
      <c r="N24" s="61"/>
    </row>
    <row r="25" ht="21" customHeight="1">
      <c r="B25" s="77">
        <f>_xlfn.IFERROR(DEV_19_Cost_Complete!B10,"—")</f>
        <v>159000000</v>
      </c>
      <c r="C25" s="61"/>
      <c r="D25" s="77">
        <f>_xlfn.IFERROR(DEV_19_Cost_Complete!C10,"—")</f>
        <v>109100000</v>
      </c>
      <c r="E25" s="61"/>
      <c r="F25" s="77">
        <f>_xlfn.IFERROR(DEV_19_Cost_Complete!E10,"—")</f>
        <v>25800000</v>
      </c>
      <c r="G25" s="61"/>
      <c r="H25" s="78">
        <f>_xlfn.IFERROR(DEV_18_Project_EV!B8,"—")</f>
        <v>550</v>
      </c>
      <c r="I25" s="61"/>
      <c r="J25" s="77">
        <f>_xlfn.IFERROR(DEV_18_Project_EV!F8,"—")</f>
        <v>196209135.691894</v>
      </c>
      <c r="K25" s="61"/>
      <c r="L25" s="78">
        <f>_xlfn.IFERROR(COUNTIF(DEV_20_Entitlement_Risk!C5:C10,"&lt;&gt;Approved"),"—")</f>
        <v>3</v>
      </c>
      <c r="M25" s="61"/>
      <c r="N25" s="61"/>
    </row>
    <row r="26" ht="15" customHeight="1"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</row>
    <row r="27" ht="15" customHeight="1"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</row>
    <row r="28" ht="15.75" customHeight="1">
      <c r="B28" s="79" t="s">
        <v>173</v>
      </c>
      <c r="C28" s="58"/>
      <c r="D28" s="58"/>
      <c r="E28" s="58"/>
      <c r="F28" s="58"/>
      <c r="G28" s="58"/>
      <c r="H28" s="80" t="s">
        <v>174</v>
      </c>
      <c r="I28" s="58"/>
      <c r="J28" s="58"/>
      <c r="K28" s="58"/>
      <c r="L28" s="58"/>
      <c r="M28" s="58"/>
      <c r="N28" s="58"/>
    </row>
    <row r="29" ht="15" customHeight="1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</row>
    <row r="30" ht="13.5" customHeight="1">
      <c r="B30" s="62" t="s">
        <v>175</v>
      </c>
      <c r="C30" s="61"/>
      <c r="D30" s="62" t="s">
        <v>8</v>
      </c>
      <c r="E30" s="61"/>
      <c r="F30" s="62" t="s">
        <v>176</v>
      </c>
      <c r="G30" s="61"/>
      <c r="H30" s="62" t="s">
        <v>177</v>
      </c>
      <c r="I30" s="61"/>
      <c r="J30" s="62" t="s">
        <v>178</v>
      </c>
      <c r="K30" s="61"/>
      <c r="L30" s="62" t="s">
        <v>179</v>
      </c>
      <c r="M30" s="61"/>
      <c r="N30" s="61"/>
    </row>
    <row r="31" ht="21" customHeight="1">
      <c r="B31" s="81">
        <f>_xlfn.IFERROR(CAP_21_Investor_Quarterly!D5,"—")</f>
        <v>0.0190839694656489</v>
      </c>
      <c r="C31" s="61"/>
      <c r="D31" s="82">
        <f>_xlfn.IFERROR(CAP_21_Investor_Quarterly!B7,"—")</f>
        <v>0.614</v>
      </c>
      <c r="E31" s="61"/>
      <c r="F31" s="83">
        <f>_xlfn.IFERROR(CAP_21_Investor_Quarterly!B11,"—")</f>
        <v>0.14</v>
      </c>
      <c r="G31" s="61"/>
      <c r="H31" s="84">
        <f>_xlfn.IFERROR(ESG_22_Sustainability!B5,"—")</f>
        <v>12.8</v>
      </c>
      <c r="I31" s="61"/>
      <c r="J31" s="85">
        <f>_xlfn.IFERROR(ESG_22_Sustainability!B7,"—")</f>
        <v>0.42</v>
      </c>
      <c r="K31" s="61"/>
      <c r="L31" s="86">
        <f>_xlfn.IFERROR(ESG_22_Sustainability!B9,"—")</f>
        <v>72</v>
      </c>
      <c r="M31" s="61"/>
      <c r="N31" s="61"/>
    </row>
    <row r="32" ht="15" customHeight="1"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</row>
    <row r="33" ht="15" customHeight="1"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</row>
    <row r="34" ht="15" customHeight="1">
      <c r="B34" s="87" t="s">
        <v>180</v>
      </c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</row>
    <row r="35" ht="15" customHeight="1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</row>
    <row r="36" ht="13.5" customHeight="1">
      <c r="B36" s="62" t="s">
        <v>181</v>
      </c>
      <c r="C36" s="61"/>
      <c r="D36" s="61"/>
      <c r="E36" s="62" t="s">
        <v>33</v>
      </c>
      <c r="F36" s="61"/>
      <c r="G36" s="61"/>
      <c r="H36" s="62" t="s">
        <v>182</v>
      </c>
      <c r="I36" s="61"/>
      <c r="J36" s="61"/>
      <c r="K36" s="62" t="s">
        <v>183</v>
      </c>
      <c r="L36" s="61"/>
      <c r="M36" s="61"/>
      <c r="N36" s="61"/>
    </row>
    <row r="37" ht="15" customHeight="1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</row>
    <row r="38" ht="15" customHeight="1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</row>
    <row r="39" ht="12.75" customHeight="1">
      <c r="B39" s="88" t="s">
        <v>184</v>
      </c>
      <c r="C39" s="88" t="str">
        <f>TEXT(NOW(),"mmm d, yyyy h:mm AM/PM")</f>
        <v>Jan 12, 2026 9:41 AM</v>
      </c>
      <c r="D39" s="88"/>
      <c r="E39" s="88"/>
      <c r="F39" s="88"/>
      <c r="G39" s="58"/>
      <c r="H39" s="58"/>
      <c r="I39" s="58"/>
      <c r="J39" s="58"/>
      <c r="K39" s="89" t="s">
        <v>186</v>
      </c>
      <c r="L39" s="89"/>
      <c r="M39" s="89"/>
      <c r="N39" s="89"/>
    </row>
    <row r="41" ht="15" customHeight="1">
      <c r="B41" s="90" t="s">
        <v>187</v>
      </c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</row>
    <row r="42" ht="15" customHeight="1"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</row>
    <row r="43" ht="15" customHeight="1">
      <c r="B43" s="93" t="s">
        <v>188</v>
      </c>
      <c r="C43" s="92"/>
      <c r="D43" s="94" t="str">
        <f>_xlfn.IFERROR(IF(COUNTIF(FIN_07_Debt_Covenant!F5:F11,"✓ PASS")=7,"✓ ALL COVENANTS PASS","⚠ COVENANT BREACH"),"—")</f>
        <v>✓ ALL COVENANTS PASS</v>
      </c>
      <c r="E43" s="92"/>
      <c r="F43" s="92"/>
      <c r="G43" s="92"/>
      <c r="H43" s="93" t="s">
        <v>190</v>
      </c>
      <c r="I43" s="92"/>
      <c r="J43" s="95">
        <f>_xlfn.IFERROR(FIN_08_AR_Bad_Debt!I7,"—")</f>
        <v>0.394673123486683</v>
      </c>
      <c r="K43" s="92"/>
      <c r="L43" s="93" t="s">
        <v>191</v>
      </c>
      <c r="M43" s="96">
        <f>_xlfn.IFERROR(COUNTIF(DEV_20_Entitlement_Risk!G5:G10,"High"),"—")</f>
        <v>1</v>
      </c>
      <c r="N43" s="92"/>
    </row>
    <row r="44" ht="15" customHeight="1">
      <c r="B44" s="93" t="s">
        <v>192</v>
      </c>
      <c r="C44" s="92"/>
      <c r="D44" s="97" t="str">
        <f>_xlfn.IFERROR(FIN_05_Cash_Flow!Q11&amp;" months","—")</f>
        <v>14.801657785672 months</v>
      </c>
      <c r="E44" s="92"/>
      <c r="F44" s="92"/>
      <c r="G44" s="92"/>
      <c r="H44" s="93" t="s">
        <v>194</v>
      </c>
      <c r="I44" s="92"/>
      <c r="J44" s="98" t="str">
        <f>_xlfn.IFERROR(COUNTIF(ESG_22_Sustainability!F5:F12,"⚠ Behind")&amp;"/8","—")</f>
        <v>8/8</v>
      </c>
      <c r="K44" s="92"/>
      <c r="L44" s="92"/>
      <c r="M44" s="92"/>
      <c r="N44" s="92"/>
    </row>
    <row r="45" ht="15" customHeight="1"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</row>
  </sheetData>
  <mergeCells>
    <mergeCell ref="B1:N1"/>
    <mergeCell ref="B2:N2"/>
    <mergeCell ref="B4:N4"/>
    <mergeCell ref="B7:C7"/>
    <mergeCell ref="D7:E7"/>
    <mergeCell ref="F7:G7"/>
    <mergeCell ref="H7:I7"/>
    <mergeCell ref="J7:K7"/>
    <mergeCell ref="L7:M7"/>
    <mergeCell ref="B10:N10"/>
    <mergeCell ref="B13:C13"/>
    <mergeCell ref="D13:E13"/>
    <mergeCell ref="F13:G13"/>
    <mergeCell ref="H13:I13"/>
    <mergeCell ref="J13:K13"/>
    <mergeCell ref="L13:M13"/>
    <mergeCell ref="B16:N16"/>
    <mergeCell ref="B19:C19"/>
    <mergeCell ref="D19:E19"/>
    <mergeCell ref="F19:G19"/>
    <mergeCell ref="H19:I19"/>
    <mergeCell ref="J19:K19"/>
    <mergeCell ref="L19:M19"/>
    <mergeCell ref="B22:N22"/>
    <mergeCell ref="B25:C25"/>
    <mergeCell ref="D25:E25"/>
    <mergeCell ref="F25:G25"/>
    <mergeCell ref="H25:I25"/>
    <mergeCell ref="J25:K25"/>
    <mergeCell ref="L25:M25"/>
    <mergeCell ref="B28:G28"/>
    <mergeCell ref="B31:C31"/>
    <mergeCell ref="D31:E31"/>
    <mergeCell ref="F31:G31"/>
    <mergeCell ref="H28:M28"/>
    <mergeCell ref="H31:I31"/>
    <mergeCell ref="J31:K31"/>
    <mergeCell ref="L31:M31"/>
    <mergeCell ref="B34:N34"/>
    <mergeCell ref="B37:D37"/>
    <mergeCell ref="E37:G37"/>
    <mergeCell ref="H37:J37"/>
    <mergeCell ref="K37:M37"/>
    <mergeCell ref="C39:E39"/>
    <mergeCell ref="K39:M39"/>
    <mergeCell ref="B41:N41"/>
    <mergeCell ref="D43:G43"/>
    <mergeCell ref="D44:E44"/>
    <mergeCell ref="J44:K44"/>
  </mergeCell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>
    <ext xmlns:x14="http://schemas.microsoft.com/office/spreadsheetml/2009/9/main" uri="{05C60535-1F16-4fd2-B633-F4F36F0B64E0}">
      <x14:sparklineGroups xmlns:xm="http://schemas.microsoft.com/office/excel/2006/main">
        <x14:sparklineGroup type="line" lineWeight="1.5" displayEmptyCellsAs="gap" high="1" low="1" first="1" last="1">
          <x14:colorSeries rgb="FF1F4E79"/>
          <x14:colorNegative rgb="FFA52A2A"/>
          <x14:colorAxis rgb="FF000000"/>
          <x14:colorMarkers rgb="FF244062"/>
          <x14:colorFirst rgb="FF95B3D7"/>
          <x14:colorLast rgb="FF95B3D7"/>
          <x14:colorHigh rgb="FF2E7D32"/>
          <x14:colorLow rgb="FFC62828"/>
          <x14:sparklines>
            <x14:sparkline>
              <xm:f>FIN_05_Cash_Flow!B27:M27</xm:f>
              <xm:sqref>B37</xm:sqref>
            </x14:sparkline>
          </x14:sparklines>
        </x14:sparklineGroup>
        <x14:sparklineGroup type="line" lineWeight="1.5" displayEmptyCellsAs="gap" first="1" last="1">
          <x14:colorSeries rgb="FF2E7D32"/>
          <x14:colorNegative rgb="FFA52A2A"/>
          <x14:colorAxis rgb="FF000000"/>
          <x14:colorMarkers rgb="FF244062"/>
          <x14:colorFirst rgb="FF95B3D7"/>
          <x14:colorLast rgb="FF95B3D7"/>
          <x14:colorHigh rgb="FF0000FF"/>
          <x14:colorLow rgb="FF0000FF"/>
          <x14:sparklines>
            <x14:sparkline>
              <xm:f>OPS_12_Renewal_Retention!B22:M22</xm:f>
              <xm:sqref>E37</xm:sqref>
            </x14:sparkline>
          </x14:sparklines>
        </x14:sparklineGroup>
        <x14:sparklineGroup type="column" lineWeight="1.5" displayEmptyCellsAs="gap" first="1" last="1">
          <x14:colorSeries rgb="FF7B1FA2"/>
          <x14:colorNegative rgb="FFA52A2A"/>
          <x14:colorAxis rgb="FF000000"/>
          <x14:colorMarkers rgb="FF244062"/>
          <x14:colorFirst rgb="FF95B3D7"/>
          <x14:colorLast rgb="FF95B3D7"/>
          <x14:colorHigh rgb="FF0000FF"/>
          <x14:colorLow rgb="FF0000FF"/>
          <x14:sparklines>
            <x14:sparkline>
              <xm:f>OPS_11_Occupancy_Mix!D5:D11</xm:f>
              <xm:sqref>H37</xm:sqref>
            </x14:sparkline>
          </x14:sparklines>
        </x14:sparklineGroup>
        <x14:sparklineGroup type="line" lineWeight="1.5" displayEmptyCellsAs="gap" first="1" last="1">
          <x14:colorSeries rgb="FFF57C00"/>
          <x14:colorNegative rgb="FFA52A2A"/>
          <x14:colorAxis rgb="FF000000"/>
          <x14:colorMarkers rgb="FF244062"/>
          <x14:colorFirst rgb="FF95B3D7"/>
          <x14:colorLast rgb="FF95B3D7"/>
          <x14:colorHigh rgb="FF0000FF"/>
          <x14:colorLow rgb="FF0000FF"/>
          <x14:sparklines>
            <x14:sparkline>
              <xm:f>FIN_05_Cash_Flow!B5:M5</xm:f>
              <xm:sqref>K37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48E66D8-0B18-27BA-B4D8-B691D754DF08}" mc:Ignorable="x14ac xr xr2 xr3">
  <dimension ref="A1:GR50000"/>
  <sheetViews>
    <sheetView showGridLines="0" topLeftCell="A42" workbookViewId="0">
      <selection activeCell="A1" sqref="A1"/>
    </sheetView>
  </sheetViews>
  <sheetFormatPr defaultRowHeight="15" defaultColWidth="7.75390625" customHeight="1"/>
  <cols>
    <col min="1" max="1" width="3.125" customWidth="1"/>
    <col min="2" max="2" width="22.50390625" customWidth="1"/>
    <col min="3" max="3" width="17.50390625" customWidth="1"/>
    <col min="4" max="5" width="11.25390625" customWidth="1"/>
    <col min="6" max="6" width="10.00390625" customWidth="1"/>
    <col min="7" max="7" width="12.375" customWidth="1"/>
    <col min="8" max="8" width="7.50390625" customWidth="1"/>
    <col min="9" max="9" width="43.75390625" customWidth="1"/>
    <col min="10" max="10" width="3.125" customWidth="1"/>
  </cols>
  <sheetData>
    <row r="1" ht="23.25" customHeight="1">
      <c r="B1" s="99" t="s">
        <v>196</v>
      </c>
      <c r="C1" s="2"/>
      <c r="D1" s="2"/>
      <c r="E1" s="2"/>
      <c r="F1" s="2"/>
      <c r="G1" s="2"/>
      <c r="H1" s="2"/>
      <c r="I1" s="2"/>
    </row>
    <row r="2" ht="15" customHeight="1">
      <c r="B2" s="100" t="str">
        <f>TEXT(TODAY(),"As of mmmm d, yyyy")&amp;" | Favorable/Unfavorable Analysis with Executive Commentary"</f>
        <v>A0 o0 January 12, 2026 | Favorable/Unfavorable Analysis with Executive Commentary</v>
      </c>
      <c r="C2" s="3"/>
      <c r="D2" s="3"/>
      <c r="E2" s="3"/>
      <c r="F2" s="3"/>
      <c r="G2" s="3"/>
      <c r="H2" s="3"/>
      <c r="I2" s="3"/>
    </row>
    <row r="3" ht="15" customHeight="1">
      <c r="B3" s="3"/>
      <c r="C3" s="3"/>
      <c r="D3" s="3"/>
      <c r="E3" s="3"/>
      <c r="F3" s="3"/>
      <c r="G3" s="3"/>
      <c r="H3" s="3"/>
      <c r="I3" s="3"/>
    </row>
    <row r="4" ht="13.5" customHeight="1">
      <c r="B4" s="101" t="s">
        <v>198</v>
      </c>
      <c r="C4" s="102" t="s">
        <v>199</v>
      </c>
      <c r="D4" s="102" t="s">
        <v>85</v>
      </c>
      <c r="E4" s="102" t="s">
        <v>200</v>
      </c>
      <c r="F4" s="102" t="s">
        <v>22</v>
      </c>
      <c r="G4" s="102" t="s">
        <v>86</v>
      </c>
      <c r="H4" s="102" t="s">
        <v>23</v>
      </c>
      <c r="I4" s="101" t="s">
        <v>201</v>
      </c>
    </row>
    <row r="5" ht="15" customHeight="1">
      <c r="B5" s="3"/>
      <c r="C5" s="3"/>
      <c r="D5" s="3"/>
      <c r="E5" s="3"/>
      <c r="F5" s="3"/>
      <c r="G5" s="3"/>
      <c r="H5" s="3"/>
      <c r="I5" s="3"/>
    </row>
    <row r="6" ht="15" customHeight="1">
      <c r="B6" s="43" t="s">
        <v>202</v>
      </c>
      <c r="C6" s="3"/>
      <c r="D6" s="3"/>
      <c r="E6" s="3"/>
      <c r="F6" s="3"/>
      <c r="G6" s="3"/>
      <c r="H6" s="3"/>
      <c r="I6" s="3"/>
    </row>
    <row r="7" ht="12.75" customHeight="1">
      <c r="B7" s="21" t="s">
        <v>203</v>
      </c>
      <c r="C7" s="21" t="s">
        <v>204</v>
      </c>
      <c r="D7" s="31">
        <f>_xlfn.IFERROR(FIN_01_Investor_Pack!E34,"")</f>
        <v>100000</v>
      </c>
      <c r="E7" s="31"/>
      <c r="F7" s="32">
        <f t="shared" si="0" ref="F7:F38">_xlfn.IFERROR(D7-E7,0)</f>
        <v>100000</v>
      </c>
      <c r="G7" s="33">
        <f t="shared" si="1" ref="G7:G38">_xlfn.IFERROR(IF(E7=0,0,(D7-E7)/E7),0)</f>
        <v>0</v>
      </c>
      <c r="H7" s="34" t="str">
        <f t="shared" si="2" ref="H7:H30">_xlfn.IFERROR(IF(G7&gt;=0,"✓ Fav","✗ Unfav"),"—")</f>
        <v>✓ Fav</v>
      </c>
      <c r="I7" s="103" t="s">
        <v>205</v>
      </c>
    </row>
    <row r="8" ht="12.75" customHeight="1">
      <c r="B8" s="21" t="s">
        <v>206</v>
      </c>
      <c r="C8" s="21" t="s">
        <v>207</v>
      </c>
      <c r="D8" s="31">
        <f>_xlfn.IFERROR(FIN_01_Investor_Pack!E21,"")</f>
        <v>7715000</v>
      </c>
      <c r="E8" s="31"/>
      <c r="F8" s="32">
        <f t="shared" si="0"/>
        <v>7715000</v>
      </c>
      <c r="G8" s="33">
        <f t="shared" si="1"/>
        <v>0</v>
      </c>
      <c r="H8" s="34" t="str">
        <f t="shared" si="2"/>
        <v>✓ Fav</v>
      </c>
      <c r="I8" s="103" t="s">
        <v>208</v>
      </c>
    </row>
    <row r="9" ht="12.75" customHeight="1">
      <c r="B9" s="21" t="s">
        <v>209</v>
      </c>
      <c r="C9" s="21" t="s">
        <v>210</v>
      </c>
      <c r="D9" s="104">
        <f>_xlfn.IFERROR(FIN_03_Rent_Roll!G6,"")</f>
        <v>251</v>
      </c>
      <c r="E9" s="104"/>
      <c r="F9" s="105">
        <f t="shared" si="0"/>
        <v>251</v>
      </c>
      <c r="G9" s="33">
        <f t="shared" si="1"/>
        <v>0</v>
      </c>
      <c r="H9" s="37" t="str">
        <f t="shared" si="2"/>
        <v>✓ Fav</v>
      </c>
      <c r="I9" s="103" t="s">
        <v>211</v>
      </c>
    </row>
    <row r="10" ht="12.75" customHeight="1">
      <c r="B10" s="21" t="s">
        <v>212</v>
      </c>
      <c r="C10" s="21" t="s">
        <v>213</v>
      </c>
      <c r="D10" s="31"/>
      <c r="E10" s="31"/>
      <c r="F10" s="32">
        <f t="shared" si="0"/>
        <v>0</v>
      </c>
      <c r="G10" s="106"/>
      <c r="H10" s="107"/>
      <c r="I10" s="103" t="s">
        <v>214</v>
      </c>
    </row>
    <row r="11" ht="12.75" customHeight="1">
      <c r="B11" s="21" t="s">
        <v>215</v>
      </c>
      <c r="C11" s="21" t="s">
        <v>139</v>
      </c>
      <c r="D11" s="31">
        <f>_xlfn.IFERROR(FIN_05_Cash_Flow!Q8,"")</f>
        <v>3852200</v>
      </c>
      <c r="E11" s="31"/>
      <c r="F11" s="32">
        <f t="shared" si="0"/>
        <v>3852200</v>
      </c>
      <c r="G11" s="33">
        <f t="shared" si="1"/>
        <v>0</v>
      </c>
      <c r="H11" s="37" t="str">
        <f t="shared" si="2"/>
        <v>✓ Fav</v>
      </c>
      <c r="I11" s="103" t="s">
        <v>216</v>
      </c>
    </row>
    <row r="12" ht="12.75" customHeight="1">
      <c r="B12" s="21" t="s">
        <v>217</v>
      </c>
      <c r="C12" s="21" t="s">
        <v>218</v>
      </c>
      <c r="D12" s="35">
        <f>_xlfn.IFERROR(FIN_06_Capex!I22,"")</f>
        <v>395000</v>
      </c>
      <c r="E12" s="35"/>
      <c r="F12" s="33">
        <f t="shared" si="0"/>
        <v>395000</v>
      </c>
      <c r="G12" s="33">
        <f t="shared" si="3" ref="G12:G26">_xlfn.IFERROR(IF(E12=0,0,(E12-D12)/E12),0)</f>
        <v>0</v>
      </c>
      <c r="H12" s="34" t="str">
        <f t="shared" si="2"/>
        <v>✓ Fav</v>
      </c>
      <c r="I12" s="103" t="s">
        <v>219</v>
      </c>
    </row>
    <row r="13" ht="12.75" customHeight="1">
      <c r="B13" s="21" t="s">
        <v>220</v>
      </c>
      <c r="C13" s="21" t="s">
        <v>34</v>
      </c>
      <c r="D13" s="41">
        <f>_xlfn.IFERROR(FIN_07_Debt_Covenant!D5,"")</f>
        <v>1.52</v>
      </c>
      <c r="E13" s="41">
        <f>_xlfn.IFERROR(FIN_07_Debt_Covenant!C5,"")</f>
        <v>1.25</v>
      </c>
      <c r="F13" s="108">
        <f t="shared" si="0"/>
        <v>0.27</v>
      </c>
      <c r="G13" s="33">
        <f t="shared" si="1"/>
        <v>0.216</v>
      </c>
      <c r="H13" s="37" t="str">
        <f>_xlfn.IFERROR(IF(D13&gt;=E13,"✓ Pass","✗ Breach"),"—")</f>
        <v>✓ Pass</v>
      </c>
      <c r="I13" s="103" t="s">
        <v>222</v>
      </c>
    </row>
    <row r="14" ht="12.75" customHeight="1">
      <c r="B14" s="21" t="s">
        <v>223</v>
      </c>
      <c r="C14" s="21" t="s">
        <v>224</v>
      </c>
      <c r="D14" s="35">
        <f>_xlfn.IFERROR(FIN_08_AR_Bad_Debt!I7,"")</f>
        <v>0.394673123486683</v>
      </c>
      <c r="E14" s="35"/>
      <c r="F14" s="33">
        <f t="shared" si="0"/>
        <v>0.394673123486683</v>
      </c>
      <c r="G14" s="33">
        <f t="shared" si="3"/>
        <v>0</v>
      </c>
      <c r="H14" s="109" t="str">
        <f>_xlfn.IFERROR(IF(D14&lt;=E14,"✓ Fav","⚠ Alert"),"—")</f>
        <v>⚠ Alert</v>
      </c>
      <c r="I14" s="103" t="s">
        <v>226</v>
      </c>
    </row>
    <row r="15" ht="15" customHeight="1">
      <c r="B15" s="3"/>
      <c r="C15" s="3"/>
      <c r="D15" s="3"/>
      <c r="E15" s="3"/>
      <c r="F15" s="3"/>
      <c r="G15" s="3"/>
      <c r="H15" s="3"/>
      <c r="I15" s="3"/>
    </row>
    <row r="16" ht="15" customHeight="1">
      <c r="B16" s="19" t="s">
        <v>227</v>
      </c>
      <c r="C16" s="3"/>
      <c r="D16" s="3"/>
      <c r="E16" s="3"/>
      <c r="F16" s="3"/>
      <c r="G16" s="3"/>
      <c r="H16" s="3"/>
      <c r="I16" s="3"/>
    </row>
    <row r="17" ht="12.75" customHeight="1">
      <c r="B17" s="21" t="s">
        <v>228</v>
      </c>
      <c r="C17" s="21" t="s">
        <v>229</v>
      </c>
      <c r="D17" s="104">
        <f>_xlfn.IFERROR(OPS_09_Leasing_OnePager!D10,0)</f>
        <v>0</v>
      </c>
      <c r="E17" s="104"/>
      <c r="F17" s="105">
        <f t="shared" si="0"/>
        <v>0</v>
      </c>
      <c r="G17" s="33">
        <f t="shared" si="1"/>
        <v>0</v>
      </c>
      <c r="H17" s="34" t="str">
        <f t="shared" si="2"/>
        <v>✓ Fav</v>
      </c>
      <c r="I17" s="103" t="s">
        <v>230</v>
      </c>
    </row>
    <row r="18" ht="12.75" customHeight="1">
      <c r="B18" s="21" t="s">
        <v>231</v>
      </c>
      <c r="C18" s="21" t="s">
        <v>30</v>
      </c>
      <c r="D18" s="35">
        <f>_xlfn.IFERROR(OPS_10_Leasing_Funnel!I12,0)</f>
        <v>0.0903562119895743</v>
      </c>
      <c r="E18" s="35"/>
      <c r="F18" s="33">
        <f t="shared" si="0"/>
        <v>0.0903562119895743</v>
      </c>
      <c r="G18" s="33">
        <f t="shared" si="1"/>
        <v>0</v>
      </c>
      <c r="H18" s="37" t="str">
        <f t="shared" si="2"/>
        <v>✓ Fav</v>
      </c>
      <c r="I18" s="103" t="s">
        <v>232</v>
      </c>
    </row>
    <row r="19" ht="12.75" customHeight="1">
      <c r="B19" s="21" t="s">
        <v>233</v>
      </c>
      <c r="C19" s="21" t="s">
        <v>9</v>
      </c>
      <c r="D19" s="35">
        <f>_xlfn.IFERROR(OPS_11_Occupancy_Mix!D12,0)</f>
        <v>0.952191235059761</v>
      </c>
      <c r="E19" s="35"/>
      <c r="F19" s="33">
        <f t="shared" si="0"/>
        <v>0.952191235059761</v>
      </c>
      <c r="G19" s="33">
        <f t="shared" si="1"/>
        <v>0</v>
      </c>
      <c r="H19" s="37" t="str">
        <f t="shared" si="2"/>
        <v>✓ Fav</v>
      </c>
      <c r="I19" s="103" t="s">
        <v>234</v>
      </c>
    </row>
    <row r="20" ht="12.75" customHeight="1">
      <c r="B20" s="21" t="s">
        <v>235</v>
      </c>
      <c r="C20" s="21" t="s">
        <v>31</v>
      </c>
      <c r="D20" s="35">
        <f>_xlfn.IFERROR(OPS_12_Renewal_Retention!D10,0)</f>
        <v>0.727272727272727</v>
      </c>
      <c r="E20" s="35"/>
      <c r="F20" s="33">
        <f t="shared" si="0"/>
        <v>0.727272727272727</v>
      </c>
      <c r="G20" s="33">
        <f t="shared" si="1"/>
        <v>0</v>
      </c>
      <c r="H20" s="37" t="str">
        <f t="shared" si="2"/>
        <v>✓ Fav</v>
      </c>
      <c r="I20" s="103" t="s">
        <v>236</v>
      </c>
    </row>
    <row r="21" ht="12.75" customHeight="1">
      <c r="B21" s="21" t="s">
        <v>237</v>
      </c>
      <c r="C21" s="21" t="s">
        <v>156</v>
      </c>
      <c r="D21" s="40">
        <f>_xlfn.IFERROR(OPS_13_Turnover_MakeReady!K5,0)</f>
        <v>0.0756972111553785</v>
      </c>
      <c r="E21" s="40"/>
      <c r="F21" s="110">
        <f t="shared" si="0"/>
        <v>0.0756972111553785</v>
      </c>
      <c r="G21" s="33">
        <f t="shared" si="3"/>
        <v>0</v>
      </c>
      <c r="H21" s="37" t="str">
        <f t="shared" si="4" ref="H21:H26">_xlfn.IFERROR(IF(D21&lt;=E21,"✓ Fav","✗ Unfav"),"—")</f>
        <v>✗ Unfav</v>
      </c>
      <c r="I21" s="103" t="s">
        <v>238</v>
      </c>
    </row>
    <row r="22" ht="12.75" customHeight="1">
      <c r="B22" s="21" t="s">
        <v>239</v>
      </c>
      <c r="C22" s="21" t="s">
        <v>240</v>
      </c>
      <c r="D22" s="40">
        <f>_xlfn.IFERROR(OPS_14_Maintenance_WO!E11,0)</f>
        <v>19.3925093632959</v>
      </c>
      <c r="E22" s="40"/>
      <c r="F22" s="110">
        <f t="shared" si="0"/>
        <v>19.3925093632959</v>
      </c>
      <c r="G22" s="33">
        <f t="shared" si="3"/>
        <v>0</v>
      </c>
      <c r="H22" s="37" t="str">
        <f t="shared" si="4"/>
        <v>✗ Unfav</v>
      </c>
      <c r="I22" s="103" t="s">
        <v>241</v>
      </c>
    </row>
    <row r="23" ht="12.75" customHeight="1">
      <c r="B23" s="21" t="s">
        <v>242</v>
      </c>
      <c r="C23" s="21" t="s">
        <v>243</v>
      </c>
      <c r="D23" s="104">
        <f>_xlfn.IFERROR(OPS_15_Resident_NPS!I4,0)</f>
        <v>0.478991596638655</v>
      </c>
      <c r="E23" s="104"/>
      <c r="F23" s="105">
        <f t="shared" si="0"/>
        <v>0.478991596638655</v>
      </c>
      <c r="G23" s="33">
        <f t="shared" si="1"/>
        <v>0</v>
      </c>
      <c r="H23" s="34" t="str">
        <f t="shared" si="5" ref="H23:H35">_xlfn.IFERROR(IF(D23&gt;=E23,"✓ Fav","✗ Unfav"),"—")</f>
        <v>✓ Fav</v>
      </c>
      <c r="I23" s="103" t="s">
        <v>244</v>
      </c>
    </row>
    <row r="24" ht="15" customHeight="1">
      <c r="B24" s="3"/>
      <c r="C24" s="3"/>
      <c r="D24" s="3"/>
      <c r="E24" s="3"/>
      <c r="F24" s="3"/>
      <c r="G24" s="3"/>
      <c r="H24" s="3"/>
      <c r="I24" s="3"/>
    </row>
    <row r="25" ht="15" customHeight="1">
      <c r="B25" s="111" t="s">
        <v>245</v>
      </c>
      <c r="C25" s="3"/>
      <c r="D25" s="3"/>
      <c r="E25" s="3"/>
      <c r="F25" s="3"/>
      <c r="G25" s="3"/>
      <c r="H25" s="3"/>
      <c r="I25" s="3"/>
    </row>
    <row r="26" ht="12.75" customHeight="1">
      <c r="B26" s="21" t="s">
        <v>246</v>
      </c>
      <c r="C26" s="21" t="s">
        <v>247</v>
      </c>
      <c r="D26" s="38">
        <f>_xlfn.IFERROR(MKT_16_Marketing_CPA!H6,0)</f>
        <v>230.769230769231</v>
      </c>
      <c r="E26" s="38"/>
      <c r="F26" s="32">
        <f t="shared" si="0"/>
        <v>230.769230769231</v>
      </c>
      <c r="G26" s="33">
        <f t="shared" si="3"/>
        <v>0</v>
      </c>
      <c r="H26" s="37" t="str">
        <f t="shared" si="4"/>
        <v>✗ Unfav</v>
      </c>
      <c r="I26" s="103" t="s">
        <v>248</v>
      </c>
    </row>
    <row r="27" ht="12.75" customHeight="1">
      <c r="B27" s="21" t="s">
        <v>249</v>
      </c>
      <c r="C27" s="21" t="s">
        <v>165</v>
      </c>
      <c r="D27" s="112">
        <f>_xlfn.IFERROR(MKT_17_Attribution!F12,0)</f>
        <v>85.8333333333333</v>
      </c>
      <c r="E27" s="112"/>
      <c r="F27" s="110">
        <f t="shared" si="0"/>
        <v>85.8333333333333</v>
      </c>
      <c r="G27" s="33">
        <f t="shared" si="1"/>
        <v>0</v>
      </c>
      <c r="H27" s="37" t="str">
        <f t="shared" si="5"/>
        <v>✓ Fav</v>
      </c>
      <c r="I27" s="103" t="s">
        <v>250</v>
      </c>
    </row>
    <row r="28" ht="15" customHeight="1">
      <c r="B28" s="3"/>
      <c r="C28" s="3"/>
      <c r="D28" s="3"/>
      <c r="E28" s="3"/>
      <c r="F28" s="3"/>
      <c r="G28" s="3"/>
      <c r="H28" s="3"/>
      <c r="I28" s="3"/>
    </row>
    <row r="29" ht="15" customHeight="1">
      <c r="B29" s="51" t="s">
        <v>251</v>
      </c>
      <c r="C29" s="3"/>
      <c r="D29" s="3"/>
      <c r="E29" s="3"/>
      <c r="F29" s="3"/>
      <c r="G29" s="3"/>
      <c r="H29" s="3"/>
      <c r="I29" s="3"/>
    </row>
    <row r="30" ht="12.75" customHeight="1">
      <c r="B30" s="21" t="s">
        <v>252</v>
      </c>
      <c r="C30" s="21" t="s">
        <v>253</v>
      </c>
      <c r="D30" s="31">
        <f>_xlfn.IFERROR(DEV_18_Project_EV!F8,0)</f>
        <v>196209135.691894</v>
      </c>
      <c r="E30" s="31"/>
      <c r="F30" s="32">
        <f t="shared" si="0"/>
        <v>196209135.691894</v>
      </c>
      <c r="G30" s="33">
        <f t="shared" si="1"/>
        <v>0</v>
      </c>
      <c r="H30" s="37" t="str">
        <f t="shared" si="2"/>
        <v>✓ Fav</v>
      </c>
      <c r="I30" s="103" t="s">
        <v>254</v>
      </c>
    </row>
    <row r="31" ht="12.75" customHeight="1">
      <c r="B31" s="21" t="s">
        <v>255</v>
      </c>
      <c r="C31" s="21" t="s">
        <v>256</v>
      </c>
      <c r="D31" s="32">
        <f>_xlfn.IFERROR(DEV_19_Cost_Complete!G10,0)</f>
        <v>0</v>
      </c>
      <c r="E31" s="32"/>
      <c r="F31" s="32">
        <f t="shared" si="0"/>
        <v>0</v>
      </c>
      <c r="G31" s="106"/>
      <c r="H31" s="37" t="str">
        <f>_xlfn.IFERROR(IF(D31&gt;=0,"✓ On Track","⚠ Over"),"—")</f>
        <v>✓ On Track</v>
      </c>
      <c r="I31" s="103" t="s">
        <v>258</v>
      </c>
    </row>
    <row r="32" ht="12.75" customHeight="1">
      <c r="B32" s="21" t="s">
        <v>259</v>
      </c>
      <c r="C32" s="21" t="s">
        <v>260</v>
      </c>
      <c r="D32" s="104">
        <f>_xlfn.IFERROR(COUNTIF(DEV_20_Entitlement_Risk!G5:G10,"High"),0)</f>
        <v>1</v>
      </c>
      <c r="E32" s="104"/>
      <c r="F32" s="105">
        <f t="shared" si="0"/>
        <v>1</v>
      </c>
      <c r="G32" s="106"/>
      <c r="H32" s="109" t="str">
        <f>_xlfn.IFERROR(IF(D32=0,"✓ Clear","⚠ Risk"),"—")</f>
        <v>⚠ Risk</v>
      </c>
      <c r="I32" s="103" t="s">
        <v>262</v>
      </c>
    </row>
    <row r="33" ht="15" customHeight="1">
      <c r="B33" s="3"/>
      <c r="C33" s="3"/>
      <c r="D33" s="3"/>
      <c r="E33" s="3"/>
      <c r="F33" s="3"/>
      <c r="G33" s="3"/>
      <c r="H33" s="3"/>
      <c r="I33" s="3"/>
    </row>
    <row r="34" ht="15" customHeight="1">
      <c r="B34" s="50" t="s">
        <v>263</v>
      </c>
      <c r="C34" s="3"/>
      <c r="D34" s="3"/>
      <c r="E34" s="3"/>
      <c r="F34" s="3"/>
      <c r="G34" s="3"/>
      <c r="H34" s="3"/>
      <c r="I34" s="3"/>
    </row>
    <row r="35" ht="12.75" customHeight="1">
      <c r="B35" s="21" t="s">
        <v>264</v>
      </c>
      <c r="C35" s="21" t="s">
        <v>265</v>
      </c>
      <c r="D35" s="33">
        <f>_xlfn.IFERROR(CAP_21_Investor_Quarterly!F10,0)</f>
        <v>0.0601503759398496</v>
      </c>
      <c r="E35" s="33"/>
      <c r="F35" s="33">
        <f t="shared" si="0"/>
        <v>0.0601503759398496</v>
      </c>
      <c r="G35" s="33">
        <f t="shared" si="1"/>
        <v>0</v>
      </c>
      <c r="H35" s="37" t="str">
        <f t="shared" si="5"/>
        <v>✓ Fav</v>
      </c>
      <c r="I35" s="103" t="s">
        <v>266</v>
      </c>
    </row>
    <row r="36" ht="15" customHeight="1">
      <c r="B36" s="3"/>
      <c r="C36" s="3"/>
      <c r="D36" s="3"/>
      <c r="E36" s="3"/>
      <c r="F36" s="3"/>
      <c r="G36" s="3"/>
      <c r="H36" s="3"/>
      <c r="I36" s="3"/>
    </row>
    <row r="37" ht="15" customHeight="1">
      <c r="B37" s="113" t="s">
        <v>267</v>
      </c>
      <c r="C37" s="3"/>
      <c r="D37" s="3"/>
      <c r="E37" s="3"/>
      <c r="F37" s="3"/>
      <c r="G37" s="3"/>
      <c r="H37" s="3"/>
      <c r="I37" s="3"/>
    </row>
    <row r="38" ht="12.75" customHeight="1">
      <c r="B38" s="21" t="s">
        <v>268</v>
      </c>
      <c r="C38" s="21" t="s">
        <v>269</v>
      </c>
      <c r="D38" s="104">
        <f>_xlfn.IFERROR(COUNTIF(ESG_22_Sustainability!F5:F12,"✓ On Track"),0)</f>
        <v>0</v>
      </c>
      <c r="E38" s="104"/>
      <c r="F38" s="105">
        <f t="shared" si="0"/>
        <v>0</v>
      </c>
      <c r="G38" s="33">
        <f t="shared" si="1"/>
        <v>0</v>
      </c>
      <c r="H38" s="109" t="str">
        <f>_xlfn.IFERROR(IF(D38&gt;=6,"✓ Fav","⚠ Behind"),"—")</f>
        <v>⚠ Behind</v>
      </c>
      <c r="I38" s="103" t="s">
        <v>271</v>
      </c>
    </row>
    <row r="39" ht="15" customHeight="1">
      <c r="B39" s="3"/>
      <c r="C39" s="3"/>
      <c r="D39" s="3"/>
      <c r="E39" s="3"/>
      <c r="F39" s="3"/>
      <c r="G39" s="3"/>
      <c r="H39" s="3"/>
      <c r="I39" s="3"/>
    </row>
    <row r="40" ht="18" customHeight="1">
      <c r="B40" s="114" t="s">
        <v>272</v>
      </c>
      <c r="C40" s="3"/>
      <c r="D40" s="3"/>
      <c r="E40" s="3"/>
      <c r="F40" s="3"/>
      <c r="G40" s="3"/>
      <c r="H40" s="3"/>
      <c r="I40" s="3"/>
    </row>
    <row r="41" ht="15" customHeight="1">
      <c r="B41" s="3"/>
      <c r="C41" s="3"/>
      <c r="D41" s="3"/>
      <c r="E41" s="3"/>
      <c r="F41" s="3"/>
      <c r="G41" s="3"/>
      <c r="H41" s="3"/>
      <c r="I41" s="3"/>
    </row>
    <row r="42" ht="18" customHeight="1">
      <c r="B42" s="115" t="s">
        <v>273</v>
      </c>
      <c r="C42" s="116"/>
      <c r="D42" s="115"/>
      <c r="E42" s="117">
        <f>_xlfn.IFERROR(COUNTIF(H7:H14,"✓*")+COUNTIF(H17:H23,"✓*")+COUNTIF(H26:H27,"✓*")+COUNTIF(H30:H32,"✓*")+COUNTIF(H35,"✓*")+COUNTIF(H38,"✓*"),"—")</f>
        <v>15</v>
      </c>
      <c r="F42" s="115"/>
      <c r="G42" s="118">
        <f>_xlfn.IFERROR(COUNTIF(H7:H14,"✗*")+COUNTIF(H17:H23,"✗*")+COUNTIF(H26:H27,"✗*")+COUNTIF(H30:H32,"✗*")+COUNTIF(H35,"✗*")+COUNTIF(H38,"✗*"),"—")</f>
        <v>3</v>
      </c>
      <c r="H42" s="115"/>
      <c r="I42" s="119">
        <f>_xlfn.IFERROR(COUNTIF(H7:H38,"⚠*"),"—")</f>
        <v>3</v>
      </c>
    </row>
    <row r="43" ht="15" customHeight="1">
      <c r="B43" s="3"/>
      <c r="C43" s="3"/>
      <c r="D43" s="3"/>
      <c r="E43" s="3"/>
      <c r="F43" s="3"/>
      <c r="G43" s="3"/>
      <c r="H43" s="3"/>
      <c r="I43" s="3"/>
    </row>
    <row r="44" ht="18" customHeight="1">
      <c r="B44" s="120" t="s">
        <v>274</v>
      </c>
      <c r="C44" s="121" t="str">
        <f>_xlfn.IFERROR(IF(G42&lt;=3,"✓ ON TRACK",IF(G42&lt;=5,"⚠ WATCH","✗ ACTION NEEDED")),"—")</f>
        <v>✓ ON TRACK</v>
      </c>
      <c r="D44" s="3"/>
      <c r="E44" s="3"/>
      <c r="F44" s="3"/>
      <c r="G44" s="3"/>
      <c r="H44" s="3"/>
      <c r="I44" s="3"/>
    </row>
    <row r="45" ht="15" customHeight="1">
      <c r="B45" s="3"/>
      <c r="C45" s="3"/>
      <c r="D45" s="3"/>
      <c r="E45" s="3"/>
      <c r="F45" s="3"/>
      <c r="G45" s="3"/>
      <c r="H45" s="3"/>
      <c r="I45" s="3"/>
    </row>
    <row r="46" ht="15" customHeight="1">
      <c r="B46" s="122" t="s">
        <v>276</v>
      </c>
      <c r="C46" s="3"/>
      <c r="D46" s="3"/>
      <c r="E46" s="3"/>
      <c r="F46" s="3"/>
      <c r="G46" s="3"/>
      <c r="H46" s="3"/>
      <c r="I46" s="3"/>
    </row>
    <row r="47" ht="12.75" customHeight="1">
      <c r="B47" s="123" t="s">
        <v>277</v>
      </c>
      <c r="C47" s="3"/>
      <c r="D47" s="3"/>
      <c r="E47" s="3"/>
      <c r="F47" s="3"/>
      <c r="G47" s="3"/>
      <c r="H47" s="3"/>
      <c r="I47" s="3"/>
    </row>
    <row r="48" ht="12.75" customHeight="1">
      <c r="B48" s="123" t="s">
        <v>278</v>
      </c>
      <c r="C48" s="3"/>
      <c r="D48" s="3"/>
      <c r="E48" s="3"/>
      <c r="F48" s="3"/>
      <c r="G48" s="3"/>
      <c r="H48" s="3"/>
      <c r="I48" s="3"/>
    </row>
    <row r="49" ht="12.75" customHeight="1">
      <c r="B49" s="123" t="s">
        <v>279</v>
      </c>
      <c r="C49" s="3"/>
      <c r="D49" s="3"/>
      <c r="E49" s="3"/>
      <c r="F49" s="3"/>
      <c r="G49" s="3"/>
      <c r="H49" s="3"/>
      <c r="I49" s="3"/>
    </row>
    <row r="50" ht="12.75" customHeight="1">
      <c r="B50" s="123" t="s">
        <v>280</v>
      </c>
      <c r="C50" s="3"/>
      <c r="D50" s="3"/>
      <c r="E50" s="3"/>
      <c r="F50" s="3"/>
      <c r="G50" s="3"/>
      <c r="H50" s="3"/>
      <c r="I50" s="3"/>
    </row>
    <row r="51" ht="12.75" customHeight="1">
      <c r="B51" s="123" t="s">
        <v>281</v>
      </c>
      <c r="C51" s="3"/>
      <c r="D51" s="3"/>
      <c r="E51" s="3"/>
      <c r="F51" s="3"/>
      <c r="G51" s="3"/>
      <c r="H51" s="3"/>
      <c r="I51" s="3"/>
    </row>
    <row r="52" ht="15" customHeight="1">
      <c r="B52" s="3"/>
      <c r="C52" s="3"/>
      <c r="D52" s="3"/>
      <c r="E52" s="3"/>
      <c r="F52" s="3"/>
      <c r="G52" s="3"/>
      <c r="H52" s="3"/>
      <c r="I52" s="3"/>
    </row>
    <row r="53" ht="12.75" customHeight="1">
      <c r="B53" s="55" t="s">
        <v>282</v>
      </c>
      <c r="C53" s="55" t="str">
        <f>TEXT(NOW(),"mmmm d, yyyy h:mm AM/PM")</f>
        <v>January 12, 2026 9:41 AM</v>
      </c>
      <c r="D53" s="8"/>
      <c r="E53" s="8"/>
      <c r="F53" s="8"/>
      <c r="G53" s="55" t="s">
        <v>284</v>
      </c>
      <c r="H53" s="55" t="s">
        <v>285</v>
      </c>
      <c r="I53" s="8"/>
    </row>
  </sheetData>
  <mergeCells>
    <mergeCell ref="B1:I1"/>
    <mergeCell ref="B2:I2"/>
    <mergeCell ref="B6:I6"/>
    <mergeCell ref="B16:I16"/>
    <mergeCell ref="B25:I25"/>
    <mergeCell ref="B29:I29"/>
    <mergeCell ref="B34:I34"/>
    <mergeCell ref="B37:I37"/>
    <mergeCell ref="B40:I40"/>
    <mergeCell ref="C44:D44"/>
    <mergeCell ref="B46:I46"/>
    <mergeCell ref="B47:I47"/>
    <mergeCell ref="B48:I48"/>
    <mergeCell ref="B49:I49"/>
    <mergeCell ref="B50:I50"/>
    <mergeCell ref="B51:I51"/>
    <mergeCell ref="C53:D53"/>
    <mergeCell ref="H53:I53"/>
  </mergeCell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8E5E538-607C-A42A-FE58-9E7E5082B7C3}" mc:Ignorable="x14ac xr xr2 xr3">
  <dimension ref="A1:GR50000"/>
  <sheetViews>
    <sheetView topLeftCell="C18" workbookViewId="0">
      <selection activeCell="A1" sqref="A1:L1"/>
    </sheetView>
  </sheetViews>
  <sheetFormatPr defaultRowHeight="15" defaultColWidth="7.75390625" customHeight="1"/>
  <cols>
    <col min="1" max="1" width="16.25390625" customWidth="1"/>
    <col min="2" max="3" width="12.50390625" customWidth="1"/>
    <col min="4" max="4" width="10.00390625" customWidth="1"/>
    <col min="5" max="5" width="12.50390625" customWidth="1"/>
    <col min="6" max="6" width="10.00390625" customWidth="1"/>
    <col min="7" max="8" width="12.50390625" customWidth="1"/>
    <col min="9" max="9" width="10.00390625" customWidth="1"/>
    <col min="10" max="10" width="8.125" customWidth="1"/>
    <col min="11" max="11" width="6.25390625" customWidth="1"/>
    <col min="12" max="12" width="35.00390625" customWidth="1"/>
  </cols>
  <sheetData>
    <row r="1" ht="21" customHeight="1">
      <c r="A1" s="124" t="s">
        <v>286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3.5" customHeight="1">
      <c r="A2" s="125" t="s">
        <v>287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ht="1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15" customHeight="1">
      <c r="A4" s="126" t="s">
        <v>288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ht="1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ht="15.75" customHeight="1">
      <c r="A6" s="127" t="s">
        <v>289</v>
      </c>
      <c r="B6" s="128">
        <v>585000</v>
      </c>
      <c r="C6" s="127" t="s">
        <v>290</v>
      </c>
      <c r="D6" s="129">
        <v>15000</v>
      </c>
      <c r="E6" s="127" t="s">
        <v>291</v>
      </c>
      <c r="F6" s="129">
        <v>8000</v>
      </c>
      <c r="G6" s="127" t="s">
        <v>292</v>
      </c>
      <c r="H6" s="128">
        <f>B6+D6+F6</f>
        <v>608000</v>
      </c>
      <c r="I6" s="127" t="s">
        <v>85</v>
      </c>
      <c r="J6" s="128">
        <v>621000</v>
      </c>
      <c r="K6" s="127" t="s">
        <v>22</v>
      </c>
      <c r="L6" s="129">
        <f>J6-H6</f>
        <v>13000</v>
      </c>
    </row>
    <row r="7" ht="1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ht="1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ht="15" customHeight="1">
      <c r="A9" s="18" t="s">
        <v>293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ht="12.75" customHeight="1">
      <c r="A10" s="20" t="s">
        <v>294</v>
      </c>
      <c r="B10" s="30" t="s">
        <v>295</v>
      </c>
      <c r="C10" s="30" t="s">
        <v>296</v>
      </c>
      <c r="D10" s="30" t="s">
        <v>297</v>
      </c>
      <c r="E10" s="30" t="s">
        <v>298</v>
      </c>
      <c r="F10" s="30" t="s">
        <v>299</v>
      </c>
      <c r="G10" s="30" t="s">
        <v>300</v>
      </c>
      <c r="H10" s="30" t="s">
        <v>85</v>
      </c>
      <c r="I10" s="30" t="s">
        <v>301</v>
      </c>
      <c r="J10" s="30" t="s">
        <v>86</v>
      </c>
      <c r="K10" s="30" t="s">
        <v>23</v>
      </c>
      <c r="L10" s="20" t="s">
        <v>302</v>
      </c>
    </row>
    <row r="11" ht="12.75" customHeight="1">
      <c r="A11" s="130" t="s">
        <v>303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ht="12.75" customHeight="1">
      <c r="A12" s="21" t="s">
        <v>304</v>
      </c>
      <c r="B12" s="131">
        <v>1100000</v>
      </c>
      <c r="C12" s="131">
        <v>1115000</v>
      </c>
      <c r="D12" s="132">
        <f t="shared" si="0" ref="D12:I36">C12-B12</f>
        <v>15000</v>
      </c>
      <c r="E12" s="131">
        <v>1120000</v>
      </c>
      <c r="F12" s="132">
        <f t="shared" si="1" ref="F12:F36">E12-C12</f>
        <v>5000</v>
      </c>
      <c r="G12" s="131" cm="1">
        <f t="array" ref="G12">E12</f>
        <v>1120000</v>
      </c>
      <c r="H12" s="131">
        <v>1125000</v>
      </c>
      <c r="I12" s="132">
        <f t="shared" si="0"/>
        <v>5000</v>
      </c>
      <c r="J12" s="133">
        <f t="shared" si="2" ref="J12:J29">IF(G12=0,0,(H12-G12)/ABS(G12))</f>
        <v>0.00446428571428571</v>
      </c>
      <c r="K12" s="106" t="str">
        <f t="shared" si="3" ref="K12:K26">IF(ABS(J12)&lt;=0.03,"✓",IF(ABS(J12)&lt;=0.07,"⚠","✗"))</f>
        <v>✓</v>
      </c>
      <c r="L12" s="103" t="s">
        <v>305</v>
      </c>
    </row>
    <row r="13" ht="12.75" customHeight="1">
      <c r="A13" s="21" t="s">
        <v>306</v>
      </c>
      <c r="B13" s="131">
        <v>50000</v>
      </c>
      <c r="C13" s="131">
        <v>48000</v>
      </c>
      <c r="D13" s="132">
        <f t="shared" si="0"/>
        <v>-2000</v>
      </c>
      <c r="E13" s="131">
        <v>46000</v>
      </c>
      <c r="F13" s="132">
        <f t="shared" si="1"/>
        <v>-2000</v>
      </c>
      <c r="G13" s="131" cm="1">
        <f t="array" ref="G13">E13</f>
        <v>46000</v>
      </c>
      <c r="H13" s="131">
        <v>45000</v>
      </c>
      <c r="I13" s="132">
        <f t="shared" si="0"/>
        <v>-1000</v>
      </c>
      <c r="J13" s="133">
        <f t="shared" si="2"/>
        <v>-0.0217391304347826</v>
      </c>
      <c r="K13" s="106" t="str">
        <f t="shared" si="3"/>
        <v>✓</v>
      </c>
      <c r="L13" s="103" t="s">
        <v>307</v>
      </c>
    </row>
    <row r="14" ht="12.75" customHeight="1">
      <c r="A14" s="21" t="s">
        <v>308</v>
      </c>
      <c r="B14" s="131">
        <v>-35000</v>
      </c>
      <c r="C14" s="131">
        <v>-32000</v>
      </c>
      <c r="D14" s="132">
        <f t="shared" si="0"/>
        <v>3000</v>
      </c>
      <c r="E14" s="131">
        <v>-30000</v>
      </c>
      <c r="F14" s="132">
        <f t="shared" si="1"/>
        <v>2000</v>
      </c>
      <c r="G14" s="131" cm="1">
        <f t="array" ref="G14">E14</f>
        <v>-30000</v>
      </c>
      <c r="H14" s="131">
        <v>-28000</v>
      </c>
      <c r="I14" s="132">
        <f t="shared" si="0"/>
        <v>2000</v>
      </c>
      <c r="J14" s="133">
        <f t="shared" si="2"/>
        <v>0.0666666666666667</v>
      </c>
      <c r="K14" s="106" t="str">
        <f t="shared" si="3"/>
        <v>⚠</v>
      </c>
      <c r="L14" s="103" t="s">
        <v>309</v>
      </c>
    </row>
    <row r="15" ht="12.75" customHeight="1">
      <c r="A15" s="134" t="s">
        <v>310</v>
      </c>
      <c r="B15" s="135">
        <f t="shared" si="4" ref="B15:H15">SUM(B12:B14)</f>
        <v>1115000</v>
      </c>
      <c r="C15" s="135">
        <f t="shared" si="4"/>
        <v>1131000</v>
      </c>
      <c r="D15" s="136">
        <f t="shared" si="0"/>
        <v>16000</v>
      </c>
      <c r="E15" s="135">
        <f t="shared" si="4"/>
        <v>1136000</v>
      </c>
      <c r="F15" s="136">
        <f t="shared" si="1"/>
        <v>5000</v>
      </c>
      <c r="G15" s="135">
        <f t="shared" si="4"/>
        <v>1136000</v>
      </c>
      <c r="H15" s="135">
        <f t="shared" si="4"/>
        <v>1142000</v>
      </c>
      <c r="I15" s="136">
        <f t="shared" si="0"/>
        <v>6000</v>
      </c>
      <c r="J15" s="137">
        <f t="shared" si="2"/>
        <v>0.00528169014084507</v>
      </c>
      <c r="K15" s="134">
        <v>0</v>
      </c>
      <c r="L15" s="134">
        <v>0</v>
      </c>
    </row>
    <row r="16" ht="1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ht="12.75" customHeight="1">
      <c r="A17" s="138" t="s">
        <v>311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ht="12.75" customHeight="1">
      <c r="A18" s="21" t="s">
        <v>312</v>
      </c>
      <c r="B18" s="131">
        <v>-180000</v>
      </c>
      <c r="C18" s="131">
        <v>-182000</v>
      </c>
      <c r="D18" s="132">
        <f t="shared" si="0"/>
        <v>-2000</v>
      </c>
      <c r="E18" s="131">
        <v>-184000</v>
      </c>
      <c r="F18" s="132">
        <f t="shared" si="1"/>
        <v>-2000</v>
      </c>
      <c r="G18" s="131" cm="1">
        <f t="array" ref="G18">E18</f>
        <v>-184000</v>
      </c>
      <c r="H18" s="131">
        <v>-185000</v>
      </c>
      <c r="I18" s="132">
        <f t="shared" si="0"/>
        <v>-1000</v>
      </c>
      <c r="J18" s="133">
        <f t="shared" si="2"/>
        <v>-0.00543478260869565</v>
      </c>
      <c r="K18" s="106" t="str">
        <f t="shared" si="3"/>
        <v>✓</v>
      </c>
      <c r="L18" s="103" t="s">
        <v>313</v>
      </c>
    </row>
    <row r="19" ht="12.75" customHeight="1">
      <c r="A19" s="21" t="s">
        <v>314</v>
      </c>
      <c r="B19" s="131">
        <v>-70000</v>
      </c>
      <c r="C19" s="131">
        <v>-68000</v>
      </c>
      <c r="D19" s="132">
        <f t="shared" si="0"/>
        <v>2000</v>
      </c>
      <c r="E19" s="131">
        <v>-65000</v>
      </c>
      <c r="F19" s="132">
        <f t="shared" si="1"/>
        <v>3000</v>
      </c>
      <c r="G19" s="131" cm="1">
        <f t="array" ref="G19">E19</f>
        <v>-65000</v>
      </c>
      <c r="H19" s="131">
        <v>-62000</v>
      </c>
      <c r="I19" s="132">
        <f t="shared" si="0"/>
        <v>3000</v>
      </c>
      <c r="J19" s="133">
        <f t="shared" si="2"/>
        <v>0.0461538461538462</v>
      </c>
      <c r="K19" s="106" t="str">
        <f t="shared" si="3"/>
        <v>⚠</v>
      </c>
      <c r="L19" s="103" t="s">
        <v>315</v>
      </c>
    </row>
    <row r="20" ht="12.75" customHeight="1">
      <c r="A20" s="21" t="s">
        <v>316</v>
      </c>
      <c r="B20" s="131">
        <v>-55000</v>
      </c>
      <c r="C20" s="131">
        <v>-52000</v>
      </c>
      <c r="D20" s="132">
        <f t="shared" si="0"/>
        <v>3000</v>
      </c>
      <c r="E20" s="131">
        <v>-50000</v>
      </c>
      <c r="F20" s="132">
        <f t="shared" si="1"/>
        <v>2000</v>
      </c>
      <c r="G20" s="131" cm="1">
        <f t="array" ref="G20">E20</f>
        <v>-50000</v>
      </c>
      <c r="H20" s="131">
        <v>-48000</v>
      </c>
      <c r="I20" s="132">
        <f t="shared" si="0"/>
        <v>2000</v>
      </c>
      <c r="J20" s="133">
        <f t="shared" si="2"/>
        <v>0.04</v>
      </c>
      <c r="K20" s="106" t="str">
        <f t="shared" si="3"/>
        <v>⚠</v>
      </c>
      <c r="L20" s="103" t="s">
        <v>317</v>
      </c>
    </row>
    <row r="21" ht="12.75" customHeight="1">
      <c r="A21" s="21" t="s">
        <v>318</v>
      </c>
      <c r="B21" s="131">
        <v>-30000</v>
      </c>
      <c r="C21" s="131">
        <v>-31000</v>
      </c>
      <c r="D21" s="132">
        <f t="shared" si="0"/>
        <v>-1000</v>
      </c>
      <c r="E21" s="131">
        <v>-32000</v>
      </c>
      <c r="F21" s="132">
        <f t="shared" si="1"/>
        <v>-1000</v>
      </c>
      <c r="G21" s="131" cm="1">
        <f t="array" ref="G21">E21</f>
        <v>-32000</v>
      </c>
      <c r="H21" s="131">
        <v>-32000</v>
      </c>
      <c r="I21" s="132">
        <f t="shared" si="0"/>
        <v>0</v>
      </c>
      <c r="J21" s="133">
        <f t="shared" si="2"/>
        <v>0</v>
      </c>
      <c r="K21" s="106" t="str">
        <f t="shared" si="3"/>
        <v>✓</v>
      </c>
      <c r="L21" s="103" t="s">
        <v>319</v>
      </c>
    </row>
    <row r="22" ht="12.75" customHeight="1">
      <c r="A22" s="21" t="s">
        <v>320</v>
      </c>
      <c r="B22" s="131">
        <v>-85000</v>
      </c>
      <c r="C22" s="131">
        <v>-85000</v>
      </c>
      <c r="D22" s="132">
        <f t="shared" si="0"/>
        <v>0</v>
      </c>
      <c r="E22" s="131">
        <v>-85000</v>
      </c>
      <c r="F22" s="132">
        <f t="shared" si="1"/>
        <v>0</v>
      </c>
      <c r="G22" s="131" cm="1">
        <f t="array" ref="G22">E22</f>
        <v>-85000</v>
      </c>
      <c r="H22" s="131">
        <v>-85000</v>
      </c>
      <c r="I22" s="132">
        <f t="shared" si="0"/>
        <v>0</v>
      </c>
      <c r="J22" s="133">
        <f t="shared" si="2"/>
        <v>0</v>
      </c>
      <c r="K22" s="106" t="str">
        <f t="shared" si="3"/>
        <v>✓</v>
      </c>
      <c r="L22" s="103" t="s">
        <v>321</v>
      </c>
    </row>
    <row r="23" ht="12.75" customHeight="1">
      <c r="A23" s="21" t="s">
        <v>322</v>
      </c>
      <c r="B23" s="131">
        <v>-28000</v>
      </c>
      <c r="C23" s="131">
        <v>-26000</v>
      </c>
      <c r="D23" s="132">
        <f t="shared" si="0"/>
        <v>2000</v>
      </c>
      <c r="E23" s="131">
        <v>-25000</v>
      </c>
      <c r="F23" s="132">
        <f t="shared" si="1"/>
        <v>1000</v>
      </c>
      <c r="G23" s="131" cm="1">
        <f t="array" ref="G23">E23</f>
        <v>-25000</v>
      </c>
      <c r="H23" s="131">
        <v>-24000</v>
      </c>
      <c r="I23" s="132">
        <f t="shared" si="0"/>
        <v>1000</v>
      </c>
      <c r="J23" s="133">
        <f t="shared" si="2"/>
        <v>0.04</v>
      </c>
      <c r="K23" s="106" t="str">
        <f t="shared" si="3"/>
        <v>⚠</v>
      </c>
      <c r="L23" s="103" t="s">
        <v>323</v>
      </c>
    </row>
    <row r="24" ht="12.75" customHeight="1">
      <c r="A24" s="21" t="s">
        <v>324</v>
      </c>
      <c r="B24" s="131">
        <v>-15000</v>
      </c>
      <c r="C24" s="131">
        <v>-16000</v>
      </c>
      <c r="D24" s="132">
        <f t="shared" si="0"/>
        <v>-1000</v>
      </c>
      <c r="E24" s="131">
        <v>-17000</v>
      </c>
      <c r="F24" s="132">
        <f t="shared" si="1"/>
        <v>-1000</v>
      </c>
      <c r="G24" s="131" cm="1">
        <f t="array" ref="G24">E24</f>
        <v>-17000</v>
      </c>
      <c r="H24" s="131">
        <v>-18000</v>
      </c>
      <c r="I24" s="132">
        <f t="shared" si="0"/>
        <v>-1000</v>
      </c>
      <c r="J24" s="133">
        <f t="shared" si="2"/>
        <v>-0.0588235294117647</v>
      </c>
      <c r="K24" s="106" t="str">
        <f t="shared" si="3"/>
        <v>⚠</v>
      </c>
      <c r="L24" s="103" t="s">
        <v>325</v>
      </c>
    </row>
    <row r="25" ht="12.75" customHeight="1">
      <c r="A25" s="21" t="s">
        <v>326</v>
      </c>
      <c r="B25" s="131">
        <v>-25000</v>
      </c>
      <c r="C25" s="131">
        <v>-24000</v>
      </c>
      <c r="D25" s="132">
        <f t="shared" si="0"/>
        <v>1000</v>
      </c>
      <c r="E25" s="131">
        <v>-23000</v>
      </c>
      <c r="F25" s="132">
        <f t="shared" si="1"/>
        <v>1000</v>
      </c>
      <c r="G25" s="131" cm="1">
        <f t="array" ref="G25">E25</f>
        <v>-23000</v>
      </c>
      <c r="H25" s="131">
        <v>-22000</v>
      </c>
      <c r="I25" s="132">
        <f t="shared" si="0"/>
        <v>1000</v>
      </c>
      <c r="J25" s="133">
        <f t="shared" si="2"/>
        <v>0.0434782608695652</v>
      </c>
      <c r="K25" s="106" t="str">
        <f t="shared" si="3"/>
        <v>⚠</v>
      </c>
      <c r="L25" s="103" t="s">
        <v>327</v>
      </c>
    </row>
    <row r="26" ht="12.75" customHeight="1">
      <c r="A26" s="21" t="s">
        <v>328</v>
      </c>
      <c r="B26" s="131">
        <v>-42000</v>
      </c>
      <c r="C26" s="131">
        <v>-43000</v>
      </c>
      <c r="D26" s="132">
        <f t="shared" si="0"/>
        <v>-1000</v>
      </c>
      <c r="E26" s="131">
        <v>-44000</v>
      </c>
      <c r="F26" s="132">
        <f t="shared" si="1"/>
        <v>-1000</v>
      </c>
      <c r="G26" s="131" cm="1">
        <f t="array" ref="G26">E26</f>
        <v>-44000</v>
      </c>
      <c r="H26" s="131">
        <v>-45000</v>
      </c>
      <c r="I26" s="132">
        <f t="shared" si="0"/>
        <v>-1000</v>
      </c>
      <c r="J26" s="133">
        <f t="shared" si="2"/>
        <v>-0.0227272727272727</v>
      </c>
      <c r="K26" s="106" t="str">
        <f t="shared" si="3"/>
        <v>✓</v>
      </c>
      <c r="L26" s="103" t="s">
        <v>329</v>
      </c>
    </row>
    <row r="27" ht="12.75" customHeight="1">
      <c r="A27" s="139" t="s">
        <v>330</v>
      </c>
      <c r="B27" s="140">
        <f t="shared" si="5" ref="B27:H27">SUM(B18:B26)</f>
        <v>-530000</v>
      </c>
      <c r="C27" s="140">
        <f t="shared" si="5"/>
        <v>-527000</v>
      </c>
      <c r="D27" s="141">
        <f t="shared" si="0"/>
        <v>3000</v>
      </c>
      <c r="E27" s="140">
        <f t="shared" si="5"/>
        <v>-525000</v>
      </c>
      <c r="F27" s="141">
        <f t="shared" si="1"/>
        <v>2000</v>
      </c>
      <c r="G27" s="140">
        <f t="shared" si="5"/>
        <v>-525000</v>
      </c>
      <c r="H27" s="140">
        <f t="shared" si="5"/>
        <v>-521000</v>
      </c>
      <c r="I27" s="141">
        <f t="shared" si="0"/>
        <v>4000</v>
      </c>
      <c r="J27" s="142">
        <f t="shared" si="2"/>
        <v>0.00761904761904762</v>
      </c>
      <c r="K27" s="139"/>
      <c r="L27" s="139"/>
    </row>
    <row r="28" ht="1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ht="13.5" customHeight="1">
      <c r="A29" s="143" t="s">
        <v>331</v>
      </c>
      <c r="B29" s="144">
        <f t="shared" si="6" ref="B29:H29">B15+B27</f>
        <v>585000</v>
      </c>
      <c r="C29" s="144">
        <f t="shared" si="6"/>
        <v>604000</v>
      </c>
      <c r="D29" s="145">
        <f t="shared" si="0"/>
        <v>19000</v>
      </c>
      <c r="E29" s="144">
        <f t="shared" si="6"/>
        <v>611000</v>
      </c>
      <c r="F29" s="145">
        <f t="shared" si="1"/>
        <v>7000</v>
      </c>
      <c r="G29" s="144">
        <f t="shared" si="6"/>
        <v>611000</v>
      </c>
      <c r="H29" s="144">
        <f t="shared" si="6"/>
        <v>621000</v>
      </c>
      <c r="I29" s="145">
        <f t="shared" si="0"/>
        <v>10000</v>
      </c>
      <c r="J29" s="146">
        <f t="shared" si="2"/>
        <v>0.016366612111293</v>
      </c>
      <c r="K29" s="147" t="str">
        <f>IF(J29&gt;=0,"✓",IF(J29&gt;=-0.05,"⚠","✗"))</f>
        <v>✓</v>
      </c>
      <c r="L29" s="143"/>
    </row>
    <row r="30" ht="1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5" customHeight="1">
      <c r="A31" s="126" t="s">
        <v>332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12.75" customHeight="1">
      <c r="A32" s="20" t="s">
        <v>333</v>
      </c>
      <c r="B32" s="30" t="s">
        <v>295</v>
      </c>
      <c r="C32" s="30" t="s">
        <v>334</v>
      </c>
      <c r="D32" s="30" t="s">
        <v>335</v>
      </c>
      <c r="E32" s="30" t="s">
        <v>336</v>
      </c>
      <c r="F32" s="30" t="s">
        <v>337</v>
      </c>
      <c r="G32" s="30" t="s">
        <v>300</v>
      </c>
      <c r="H32" s="30" t="s">
        <v>85</v>
      </c>
      <c r="I32" s="30" t="s">
        <v>22</v>
      </c>
      <c r="J32" s="30" t="s">
        <v>86</v>
      </c>
      <c r="K32" s="30" t="s">
        <v>338</v>
      </c>
      <c r="L32" s="20" t="s">
        <v>93</v>
      </c>
    </row>
    <row r="33" ht="12.75" customHeight="1">
      <c r="A33" s="21" t="s">
        <v>339</v>
      </c>
      <c r="B33" s="131">
        <v>585000</v>
      </c>
      <c r="C33" s="131">
        <v>600000</v>
      </c>
      <c r="D33" s="132">
        <f t="shared" si="0"/>
        <v>15000</v>
      </c>
      <c r="E33" s="131">
        <v>608000</v>
      </c>
      <c r="F33" s="132">
        <f t="shared" si="1"/>
        <v>8000</v>
      </c>
      <c r="G33" s="131" cm="1">
        <f t="array" ref="G33">E33</f>
        <v>608000</v>
      </c>
      <c r="H33" s="131">
        <v>621000</v>
      </c>
      <c r="I33" s="132">
        <f t="shared" si="0"/>
        <v>13000</v>
      </c>
      <c r="J33" s="133">
        <f>IF(G33=0,0,(H33-G33)/G33)</f>
        <v>0.0213815789473684</v>
      </c>
      <c r="K33" s="148">
        <f>1-ABS(J33)</f>
        <v>0.978618421052632</v>
      </c>
      <c r="L33" s="103" t="s">
        <v>340</v>
      </c>
    </row>
    <row r="34" ht="12.75" customHeight="1">
      <c r="A34" s="21" t="s">
        <v>341</v>
      </c>
      <c r="B34" s="131">
        <v>590000</v>
      </c>
      <c r="C34" s="131">
        <v>605000</v>
      </c>
      <c r="D34" s="132">
        <f t="shared" si="0"/>
        <v>15000</v>
      </c>
      <c r="E34" s="131">
        <v>612000</v>
      </c>
      <c r="F34" s="132">
        <f t="shared" si="1"/>
        <v>7000</v>
      </c>
      <c r="G34" s="131" cm="1">
        <f t="array" ref="G34">E34</f>
        <v>612000</v>
      </c>
      <c r="H34" s="149" t="s">
        <v>342</v>
      </c>
      <c r="I34" s="149" t="s">
        <v>342</v>
      </c>
      <c r="J34" s="149" t="s">
        <v>342</v>
      </c>
      <c r="K34" s="149" t="s">
        <v>342</v>
      </c>
      <c r="L34" s="103" t="s">
        <v>343</v>
      </c>
    </row>
    <row r="35" ht="12.75" customHeight="1">
      <c r="A35" s="21" t="s">
        <v>344</v>
      </c>
      <c r="B35" s="131">
        <v>605000</v>
      </c>
      <c r="C35" s="131">
        <v>618000</v>
      </c>
      <c r="D35" s="132">
        <f t="shared" si="0"/>
        <v>13000</v>
      </c>
      <c r="E35" s="131">
        <v>625000</v>
      </c>
      <c r="F35" s="132">
        <f t="shared" si="1"/>
        <v>7000</v>
      </c>
      <c r="G35" s="131" cm="1">
        <f t="array" ref="G35">E35</f>
        <v>625000</v>
      </c>
      <c r="H35" s="149" t="s">
        <v>342</v>
      </c>
      <c r="I35" s="149" t="s">
        <v>342</v>
      </c>
      <c r="J35" s="149" t="s">
        <v>342</v>
      </c>
      <c r="K35" s="149" t="s">
        <v>342</v>
      </c>
      <c r="L35" s="103" t="s">
        <v>343</v>
      </c>
    </row>
    <row r="36" ht="12.75" customHeight="1">
      <c r="A36" s="150" t="s">
        <v>345</v>
      </c>
      <c r="B36" s="151">
        <v>1780000</v>
      </c>
      <c r="C36" s="151">
        <v>1823000</v>
      </c>
      <c r="D36" s="152">
        <f t="shared" si="0"/>
        <v>43000</v>
      </c>
      <c r="E36" s="151">
        <v>1845000</v>
      </c>
      <c r="F36" s="152">
        <f t="shared" si="1"/>
        <v>22000</v>
      </c>
      <c r="G36" s="151" cm="1">
        <f t="array" ref="G36">E36</f>
        <v>1845000</v>
      </c>
      <c r="H36" s="153" t="s">
        <v>342</v>
      </c>
      <c r="I36" s="153" t="s">
        <v>342</v>
      </c>
      <c r="J36" s="153" t="s">
        <v>342</v>
      </c>
      <c r="K36" s="153" t="s">
        <v>342</v>
      </c>
      <c r="L36" s="154" t="s">
        <v>346</v>
      </c>
    </row>
    <row r="37" ht="1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ht="15" customHeight="1">
      <c r="A38" s="111" t="s">
        <v>347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ht="12.75" customHeight="1">
      <c r="A39" s="30" t="s">
        <v>348</v>
      </c>
      <c r="B39" s="30" t="s">
        <v>349</v>
      </c>
      <c r="C39" s="30" t="s">
        <v>350</v>
      </c>
      <c r="D39" s="30" t="s">
        <v>92</v>
      </c>
      <c r="E39" s="30"/>
      <c r="F39" s="20" t="s">
        <v>351</v>
      </c>
      <c r="G39" s="30"/>
      <c r="H39" s="30"/>
      <c r="I39" s="30"/>
      <c r="J39" s="30"/>
      <c r="K39" s="30" t="s">
        <v>352</v>
      </c>
      <c r="L39" s="30" t="s">
        <v>23</v>
      </c>
    </row>
    <row r="40" ht="12.75" customHeight="1">
      <c r="A40" s="106" t="s">
        <v>334</v>
      </c>
      <c r="B40" s="106" t="s">
        <v>353</v>
      </c>
      <c r="C40" s="32">
        <v>23000</v>
      </c>
      <c r="D40" s="21" t="s">
        <v>67</v>
      </c>
      <c r="E40" s="21"/>
      <c r="F40" s="21" t="s">
        <v>354</v>
      </c>
      <c r="G40" s="21"/>
      <c r="H40" s="21"/>
      <c r="I40" s="21"/>
      <c r="J40" s="21"/>
      <c r="K40" s="106" t="s">
        <v>355</v>
      </c>
      <c r="L40" s="37" t="s">
        <v>356</v>
      </c>
    </row>
    <row r="41" ht="12.75" customHeight="1">
      <c r="A41" s="106" t="s">
        <v>334</v>
      </c>
      <c r="B41" s="106" t="s">
        <v>353</v>
      </c>
      <c r="C41" s="32">
        <v>-8000</v>
      </c>
      <c r="D41" s="21" t="s">
        <v>357</v>
      </c>
      <c r="E41" s="21"/>
      <c r="F41" s="21" t="s">
        <v>358</v>
      </c>
      <c r="G41" s="21"/>
      <c r="H41" s="21"/>
      <c r="I41" s="21"/>
      <c r="J41" s="21"/>
      <c r="K41" s="106" t="s">
        <v>355</v>
      </c>
      <c r="L41" s="37" t="s">
        <v>356</v>
      </c>
    </row>
    <row r="42" ht="12.75" customHeight="1">
      <c r="A42" s="106" t="s">
        <v>336</v>
      </c>
      <c r="B42" s="106" t="s">
        <v>359</v>
      </c>
      <c r="C42" s="32">
        <v>14000</v>
      </c>
      <c r="D42" s="21" t="s">
        <v>67</v>
      </c>
      <c r="E42" s="21"/>
      <c r="F42" s="21" t="s">
        <v>360</v>
      </c>
      <c r="G42" s="21"/>
      <c r="H42" s="21"/>
      <c r="I42" s="21"/>
      <c r="J42" s="21"/>
      <c r="K42" s="106" t="s">
        <v>355</v>
      </c>
      <c r="L42" s="37" t="s">
        <v>356</v>
      </c>
    </row>
    <row r="43" ht="12.75" customHeight="1">
      <c r="A43" s="106" t="s">
        <v>336</v>
      </c>
      <c r="B43" s="106" t="s">
        <v>359</v>
      </c>
      <c r="C43" s="32">
        <v>-6000</v>
      </c>
      <c r="D43" s="21" t="s">
        <v>357</v>
      </c>
      <c r="E43" s="21"/>
      <c r="F43" s="21" t="s">
        <v>361</v>
      </c>
      <c r="G43" s="21"/>
      <c r="H43" s="21"/>
      <c r="I43" s="21"/>
      <c r="J43" s="21"/>
      <c r="K43" s="106" t="s">
        <v>355</v>
      </c>
      <c r="L43" s="37" t="s">
        <v>356</v>
      </c>
    </row>
    <row r="44" ht="12.75" customHeight="1">
      <c r="A44" s="106" t="s">
        <v>362</v>
      </c>
      <c r="B44" s="106" t="s">
        <v>363</v>
      </c>
      <c r="C44" s="32">
        <v>0</v>
      </c>
      <c r="D44" s="21" t="s">
        <v>364</v>
      </c>
      <c r="E44" s="21"/>
      <c r="F44" s="21" t="s">
        <v>365</v>
      </c>
      <c r="G44" s="21"/>
      <c r="H44" s="21"/>
      <c r="I44" s="21"/>
      <c r="J44" s="21"/>
      <c r="K44" s="106" t="s">
        <v>366</v>
      </c>
      <c r="L44" s="109" t="s">
        <v>367</v>
      </c>
    </row>
    <row r="45" ht="1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ht="12.75" customHeight="1">
      <c r="A46" s="155" t="s">
        <v>368</v>
      </c>
      <c r="B46" s="8"/>
      <c r="C46" s="8"/>
      <c r="D46" s="8"/>
      <c r="E46" s="8"/>
      <c r="F46" s="55" t="s">
        <v>282</v>
      </c>
      <c r="G46" s="55" t="str">
        <f>TEXT(NOW(),"mmmm d, yyyy")</f>
        <v>January 12, 2026</v>
      </c>
      <c r="H46" s="55"/>
      <c r="I46" s="8"/>
      <c r="J46" s="55" t="s">
        <v>369</v>
      </c>
      <c r="K46" s="55" t="s">
        <v>370</v>
      </c>
      <c r="L46" s="55"/>
    </row>
  </sheetData>
  <mergeCells>
    <mergeCell ref="A1:L1"/>
    <mergeCell ref="A2:L2"/>
    <mergeCell ref="A4:L4"/>
    <mergeCell ref="A9:L9"/>
    <mergeCell ref="A11:L11"/>
    <mergeCell ref="A17:L17"/>
    <mergeCell ref="A31:L31"/>
    <mergeCell ref="A38:L38"/>
    <mergeCell ref="D39:E39"/>
    <mergeCell ref="F39:J39"/>
    <mergeCell ref="D40:E40"/>
    <mergeCell ref="F40:J40"/>
    <mergeCell ref="D41:E41"/>
    <mergeCell ref="F41:J41"/>
    <mergeCell ref="D42:E42"/>
    <mergeCell ref="F42:J42"/>
    <mergeCell ref="D43:E43"/>
    <mergeCell ref="F43:J43"/>
    <mergeCell ref="D44:E44"/>
    <mergeCell ref="F44:J44"/>
    <mergeCell ref="A46:D46"/>
    <mergeCell ref="G46:H46"/>
    <mergeCell ref="K46:L46"/>
  </mergeCell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40FD048-62C8-7F0E-DFEB-81024DBCD4E8}" mc:Ignorable="x14ac xr xr2 xr3">
  <dimension ref="A1:GR50000"/>
  <sheetViews>
    <sheetView topLeftCell="A1" workbookViewId="0">
      <selection activeCell="A1" sqref="A1"/>
    </sheetView>
  </sheetViews>
  <sheetFormatPr defaultRowHeight="15" defaultColWidth="7.75390625" customHeight="1"/>
  <cols>
    <col min="1" max="1" width="3.125" customWidth="1"/>
    <col min="2" max="2" width="61.375" customWidth="1"/>
    <col min="3" max="3" width="42.00390625" customWidth="1"/>
    <col min="4" max="4" width="28.00390625" customWidth="1"/>
    <col min="5" max="5" width="10.625" customWidth="1"/>
    <col min="6" max="6" width="7.50390625" customWidth="1"/>
    <col min="7" max="7" width="8.75390625" customWidth="1"/>
    <col min="8" max="9" width="10.00390625" customWidth="1"/>
    <col min="10" max="10" width="33.875" customWidth="1"/>
    <col min="11" max="11" width="3.125" customWidth="1"/>
  </cols>
  <sheetData>
    <row r="1" ht="21" customHeight="1">
      <c r="B1" s="156" t="s">
        <v>371</v>
      </c>
    </row>
    <row r="2" ht="13.5" customHeight="1">
      <c r="B2" s="157" t="s">
        <v>372</v>
      </c>
    </row>
    <row r="4" ht="15" customHeight="1">
      <c r="B4" s="158" t="s">
        <v>373</v>
      </c>
    </row>
    <row r="5" ht="15" customHeight="1">
      <c r="B5" s="159"/>
      <c r="C5" s="159"/>
      <c r="D5" s="159"/>
      <c r="E5" s="159"/>
      <c r="F5" s="159"/>
      <c r="G5" s="159"/>
      <c r="H5" s="159"/>
      <c r="I5" s="159"/>
      <c r="J5" s="159"/>
    </row>
    <row r="6" ht="21" customHeight="1">
      <c r="B6" s="160" t="s">
        <v>374</v>
      </c>
      <c r="C6" s="161">
        <v>36000</v>
      </c>
      <c r="D6" s="159"/>
      <c r="E6" s="160" t="s">
        <v>375</v>
      </c>
      <c r="F6" s="162">
        <v>57000</v>
      </c>
      <c r="G6" s="160" t="s">
        <v>376</v>
      </c>
      <c r="H6" s="163">
        <v>-21000</v>
      </c>
      <c r="I6" s="160" t="s">
        <v>377</v>
      </c>
      <c r="J6" s="164">
        <f>_xlfn.IFERROR(F6+H6,0)</f>
        <v>36000</v>
      </c>
    </row>
    <row r="7" ht="15" customHeight="1">
      <c r="B7" s="159"/>
      <c r="C7" s="159"/>
      <c r="D7" s="159"/>
      <c r="E7" s="159"/>
      <c r="F7" s="159"/>
      <c r="G7" s="159"/>
      <c r="H7" s="159"/>
      <c r="I7" s="159"/>
      <c r="J7" s="159"/>
    </row>
    <row r="10" ht="15" customHeight="1">
      <c r="B10" s="165" t="s">
        <v>378</v>
      </c>
      <c r="C10" s="166"/>
      <c r="D10" s="166"/>
      <c r="E10" s="166"/>
      <c r="F10" s="166"/>
      <c r="G10" s="166"/>
      <c r="H10" s="166"/>
      <c r="I10" s="166"/>
      <c r="J10" s="166"/>
    </row>
    <row r="11" ht="13.5" customHeight="1">
      <c r="B11" s="167" t="s">
        <v>92</v>
      </c>
      <c r="C11" s="167" t="s">
        <v>85</v>
      </c>
      <c r="D11" s="167" t="s">
        <v>379</v>
      </c>
      <c r="E11" s="167" t="s">
        <v>22</v>
      </c>
      <c r="F11" s="167" t="s">
        <v>86</v>
      </c>
      <c r="G11" s="167" t="s">
        <v>380</v>
      </c>
      <c r="H11" s="167" t="s">
        <v>381</v>
      </c>
      <c r="I11" s="167" t="s">
        <v>23</v>
      </c>
      <c r="J11" s="167" t="s">
        <v>382</v>
      </c>
    </row>
    <row r="12" ht="13.5" customHeight="1">
      <c r="B12" s="168" t="s">
        <v>383</v>
      </c>
      <c r="C12" s="169">
        <v>425000</v>
      </c>
      <c r="D12" s="169">
        <v>400000</v>
      </c>
      <c r="E12" s="169">
        <f t="shared" si="0" ref="E12:E27">_xlfn.IFERROR(C12-D12,0)</f>
        <v>25000</v>
      </c>
      <c r="F12" s="170">
        <f t="shared" si="1" ref="F12:F27">_xlfn.IFERROR(E12/D12,0)</f>
        <v>0.0625</v>
      </c>
      <c r="G12" s="170">
        <f t="shared" si="2" ref="G12:G22">_xlfn.IFERROR(E12/$E$7,0)</f>
        <v>0</v>
      </c>
      <c r="H12" s="168" t="s">
        <v>384</v>
      </c>
      <c r="I12" s="171" t="s">
        <v>27</v>
      </c>
      <c r="J12" s="168" t="s">
        <v>385</v>
      </c>
    </row>
    <row r="13" ht="15.75" customHeight="1">
      <c r="B13" s="172" t="s">
        <v>386</v>
      </c>
      <c r="C13" s="173">
        <v>380000</v>
      </c>
      <c r="D13" s="173">
        <v>365000</v>
      </c>
      <c r="E13" s="173">
        <f t="shared" si="0"/>
        <v>15000</v>
      </c>
      <c r="F13" s="174">
        <f t="shared" si="1"/>
        <v>0.0410958904109589</v>
      </c>
      <c r="G13" s="174">
        <f t="shared" si="2"/>
        <v>0</v>
      </c>
      <c r="H13" s="172" t="s">
        <v>387</v>
      </c>
      <c r="I13" s="175" t="s">
        <v>27</v>
      </c>
      <c r="J13" s="172" t="s">
        <v>388</v>
      </c>
    </row>
    <row r="14" ht="15.75" customHeight="1">
      <c r="B14" s="172" t="s">
        <v>389</v>
      </c>
      <c r="C14" s="173">
        <v>28000</v>
      </c>
      <c r="D14" s="173">
        <v>22000</v>
      </c>
      <c r="E14" s="173">
        <f t="shared" si="0"/>
        <v>6000</v>
      </c>
      <c r="F14" s="174">
        <f t="shared" si="1"/>
        <v>0.272727272727273</v>
      </c>
      <c r="G14" s="174">
        <f t="shared" si="2"/>
        <v>0</v>
      </c>
      <c r="H14" s="172" t="s">
        <v>390</v>
      </c>
      <c r="I14" s="175" t="s">
        <v>27</v>
      </c>
      <c r="J14" s="172" t="s">
        <v>391</v>
      </c>
    </row>
    <row r="15" ht="15.75" customHeight="1">
      <c r="B15" s="172" t="s">
        <v>392</v>
      </c>
      <c r="C15" s="173">
        <v>17000</v>
      </c>
      <c r="D15" s="173">
        <v>13000</v>
      </c>
      <c r="E15" s="173">
        <f t="shared" si="0"/>
        <v>4000</v>
      </c>
      <c r="F15" s="174">
        <f t="shared" si="1"/>
        <v>0.307692307692308</v>
      </c>
      <c r="G15" s="174">
        <f t="shared" si="2"/>
        <v>0</v>
      </c>
      <c r="H15" s="172" t="s">
        <v>393</v>
      </c>
      <c r="I15" s="175" t="s">
        <v>27</v>
      </c>
      <c r="J15" s="172" t="s">
        <v>394</v>
      </c>
    </row>
    <row r="16" ht="13.5" customHeight="1">
      <c r="B16" s="168" t="s">
        <v>395</v>
      </c>
      <c r="C16" s="169">
        <v>196000</v>
      </c>
      <c r="D16" s="169">
        <v>215000</v>
      </c>
      <c r="E16" s="169">
        <f t="shared" si="0"/>
        <v>-19000</v>
      </c>
      <c r="F16" s="170">
        <f t="shared" si="1"/>
        <v>-0.0883720930232558</v>
      </c>
      <c r="G16" s="170">
        <f t="shared" si="2"/>
        <v>0</v>
      </c>
      <c r="H16" s="168" t="s">
        <v>384</v>
      </c>
      <c r="I16" s="171" t="s">
        <v>27</v>
      </c>
      <c r="J16" s="168" t="s">
        <v>396</v>
      </c>
    </row>
    <row r="17" ht="15.75" customHeight="1">
      <c r="B17" s="172" t="s">
        <v>397</v>
      </c>
      <c r="C17" s="173">
        <v>85000</v>
      </c>
      <c r="D17" s="173">
        <v>92000</v>
      </c>
      <c r="E17" s="173">
        <f t="shared" si="0"/>
        <v>-7000</v>
      </c>
      <c r="F17" s="174">
        <f t="shared" si="1"/>
        <v>-0.0760869565217391</v>
      </c>
      <c r="G17" s="174">
        <f t="shared" si="2"/>
        <v>0</v>
      </c>
      <c r="H17" s="172" t="s">
        <v>390</v>
      </c>
      <c r="I17" s="175" t="s">
        <v>27</v>
      </c>
      <c r="J17" s="172" t="s">
        <v>398</v>
      </c>
    </row>
    <row r="18" ht="15.75" customHeight="1">
      <c r="B18" s="172" t="s">
        <v>399</v>
      </c>
      <c r="C18" s="173">
        <v>32000</v>
      </c>
      <c r="D18" s="173">
        <v>28000</v>
      </c>
      <c r="E18" s="173">
        <f t="shared" si="0"/>
        <v>4000</v>
      </c>
      <c r="F18" s="174">
        <f t="shared" si="1"/>
        <v>0.142857142857143</v>
      </c>
      <c r="G18" s="174">
        <f t="shared" si="2"/>
        <v>0</v>
      </c>
      <c r="H18" s="172" t="s">
        <v>390</v>
      </c>
      <c r="I18" s="176" t="s">
        <v>94</v>
      </c>
      <c r="J18" s="172" t="s">
        <v>400</v>
      </c>
    </row>
    <row r="19" ht="15.75" customHeight="1">
      <c r="B19" s="172" t="s">
        <v>401</v>
      </c>
      <c r="C19" s="173">
        <v>24000</v>
      </c>
      <c r="D19" s="173">
        <v>26000</v>
      </c>
      <c r="E19" s="173">
        <f t="shared" si="0"/>
        <v>-2000</v>
      </c>
      <c r="F19" s="174">
        <f t="shared" si="1"/>
        <v>-0.0769230769230769</v>
      </c>
      <c r="G19" s="174">
        <f t="shared" si="2"/>
        <v>0</v>
      </c>
      <c r="H19" s="172" t="s">
        <v>387</v>
      </c>
      <c r="I19" s="175" t="s">
        <v>27</v>
      </c>
      <c r="J19" s="172" t="s">
        <v>402</v>
      </c>
    </row>
    <row r="20" ht="15.75" customHeight="1">
      <c r="B20" s="172" t="s">
        <v>403</v>
      </c>
      <c r="C20" s="173">
        <v>18000</v>
      </c>
      <c r="D20" s="173">
        <v>25000</v>
      </c>
      <c r="E20" s="173">
        <f t="shared" si="0"/>
        <v>-7000</v>
      </c>
      <c r="F20" s="174">
        <f t="shared" si="1"/>
        <v>-0.28</v>
      </c>
      <c r="G20" s="174">
        <f t="shared" si="2"/>
        <v>0</v>
      </c>
      <c r="H20" s="172" t="s">
        <v>404</v>
      </c>
      <c r="I20" s="175" t="s">
        <v>27</v>
      </c>
      <c r="J20" s="172" t="s">
        <v>405</v>
      </c>
    </row>
    <row r="21" ht="15.75" customHeight="1">
      <c r="B21" s="172" t="s">
        <v>406</v>
      </c>
      <c r="C21" s="173">
        <v>22000</v>
      </c>
      <c r="D21" s="173">
        <v>24000</v>
      </c>
      <c r="E21" s="173">
        <f t="shared" si="0"/>
        <v>-2000</v>
      </c>
      <c r="F21" s="174">
        <f t="shared" si="1"/>
        <v>-0.0833333333333333</v>
      </c>
      <c r="G21" s="174">
        <f t="shared" si="2"/>
        <v>0</v>
      </c>
      <c r="H21" s="172" t="s">
        <v>387</v>
      </c>
      <c r="I21" s="175" t="s">
        <v>27</v>
      </c>
      <c r="J21" s="172" t="s">
        <v>407</v>
      </c>
    </row>
    <row r="22" ht="15.75" customHeight="1">
      <c r="B22" s="177" t="s">
        <v>408</v>
      </c>
      <c r="C22" s="178">
        <v>15000</v>
      </c>
      <c r="D22" s="178">
        <v>20000</v>
      </c>
      <c r="E22" s="178">
        <f t="shared" si="0"/>
        <v>-5000</v>
      </c>
      <c r="F22" s="179">
        <f t="shared" si="1"/>
        <v>-0.25</v>
      </c>
      <c r="G22" s="179">
        <f t="shared" si="2"/>
        <v>0</v>
      </c>
      <c r="H22" s="177" t="s">
        <v>409</v>
      </c>
      <c r="I22" s="180" t="s">
        <v>27</v>
      </c>
      <c r="J22" s="177" t="s">
        <v>410</v>
      </c>
    </row>
    <row r="25" ht="15" customHeight="1">
      <c r="B25" s="181" t="s">
        <v>411</v>
      </c>
      <c r="C25" s="182"/>
      <c r="D25" s="182"/>
      <c r="E25" s="182"/>
      <c r="F25" s="182"/>
      <c r="G25" s="182"/>
      <c r="H25" s="182"/>
      <c r="I25" s="182"/>
      <c r="J25" s="182"/>
    </row>
    <row r="26" ht="13.5" customHeight="1">
      <c r="B26" s="183" t="s">
        <v>294</v>
      </c>
      <c r="C26" s="183" t="s">
        <v>85</v>
      </c>
      <c r="D26" s="183" t="s">
        <v>379</v>
      </c>
      <c r="E26" s="183"/>
      <c r="F26" s="183"/>
      <c r="G26" s="183"/>
      <c r="H26" s="183" t="s">
        <v>412</v>
      </c>
      <c r="I26" s="183" t="s">
        <v>23</v>
      </c>
      <c r="J26" s="183" t="s">
        <v>413</v>
      </c>
    </row>
    <row r="27" ht="15.75" customHeight="1">
      <c r="B27" s="184" t="s">
        <v>414</v>
      </c>
      <c r="C27" s="185">
        <v>6500</v>
      </c>
      <c r="D27" s="185">
        <v>7000</v>
      </c>
      <c r="E27" s="185">
        <f t="shared" si="0"/>
        <v>-500</v>
      </c>
      <c r="F27" s="186">
        <f t="shared" si="1"/>
        <v>-0.0714285714285714</v>
      </c>
      <c r="G27" s="184"/>
      <c r="H27" s="184" t="s">
        <v>415</v>
      </c>
      <c r="I27" s="184" t="s">
        <v>27</v>
      </c>
      <c r="J27" s="184" t="s">
        <v>416</v>
      </c>
    </row>
    <row r="28" ht="15.75" customHeight="1">
      <c r="B28" s="184" t="s">
        <v>417</v>
      </c>
      <c r="C28" s="185">
        <v>5200</v>
      </c>
      <c r="D28" s="185">
        <v>5500</v>
      </c>
      <c r="E28" s="185">
        <f t="shared" si="3" ref="E28:E33">C28-D28</f>
        <v>-300</v>
      </c>
      <c r="F28" s="186">
        <f t="shared" si="4" ref="F28:F33">E28/D28</f>
        <v>-0.0545454545454545</v>
      </c>
      <c r="G28" s="184" t="s">
        <v>390</v>
      </c>
      <c r="H28" s="184" t="s">
        <v>415</v>
      </c>
      <c r="I28" s="184" t="s">
        <v>27</v>
      </c>
      <c r="J28" s="184" t="s">
        <v>418</v>
      </c>
    </row>
    <row r="29" ht="15.75" customHeight="1">
      <c r="B29" s="184" t="s">
        <v>419</v>
      </c>
      <c r="C29" s="185">
        <v>12800</v>
      </c>
      <c r="D29" s="185">
        <v>6000</v>
      </c>
      <c r="E29" s="185">
        <f t="shared" si="3"/>
        <v>6800</v>
      </c>
      <c r="F29" s="186">
        <f t="shared" si="4"/>
        <v>1.13333333333333</v>
      </c>
      <c r="G29" s="184" t="s">
        <v>409</v>
      </c>
      <c r="H29" s="184" t="s">
        <v>420</v>
      </c>
      <c r="I29" s="184" t="s">
        <v>25</v>
      </c>
      <c r="J29" s="184" t="s">
        <v>421</v>
      </c>
    </row>
    <row r="30" ht="15.75" customHeight="1">
      <c r="B30" s="184" t="s">
        <v>422</v>
      </c>
      <c r="C30" s="185">
        <v>3500</v>
      </c>
      <c r="D30" s="185">
        <v>4000</v>
      </c>
      <c r="E30" s="185">
        <f t="shared" si="3"/>
        <v>-500</v>
      </c>
      <c r="F30" s="186">
        <f t="shared" si="4"/>
        <v>-0.125</v>
      </c>
      <c r="G30" s="184" t="s">
        <v>387</v>
      </c>
      <c r="H30" s="184" t="s">
        <v>415</v>
      </c>
      <c r="I30" s="184" t="s">
        <v>27</v>
      </c>
      <c r="J30" s="184" t="s">
        <v>423</v>
      </c>
    </row>
    <row r="31" ht="15.75" customHeight="1">
      <c r="B31" s="184" t="s">
        <v>424</v>
      </c>
      <c r="C31" s="185">
        <v>2800</v>
      </c>
      <c r="D31" s="185">
        <v>3500</v>
      </c>
      <c r="E31" s="185">
        <f t="shared" si="3"/>
        <v>-700</v>
      </c>
      <c r="F31" s="186">
        <f t="shared" si="4"/>
        <v>-0.2</v>
      </c>
      <c r="G31" s="184" t="s">
        <v>390</v>
      </c>
      <c r="H31" s="184" t="s">
        <v>425</v>
      </c>
      <c r="I31" s="184" t="s">
        <v>27</v>
      </c>
      <c r="J31" s="184" t="s">
        <v>426</v>
      </c>
    </row>
    <row r="32" ht="15.75" customHeight="1">
      <c r="B32" s="184" t="s">
        <v>427</v>
      </c>
      <c r="C32" s="185">
        <v>1200</v>
      </c>
      <c r="D32" s="185">
        <v>2000</v>
      </c>
      <c r="E32" s="185">
        <f t="shared" si="3"/>
        <v>-800</v>
      </c>
      <c r="F32" s="186">
        <f t="shared" si="4"/>
        <v>-0.4</v>
      </c>
      <c r="G32" s="184" t="s">
        <v>404</v>
      </c>
      <c r="H32" s="184" t="s">
        <v>425</v>
      </c>
      <c r="I32" s="184" t="s">
        <v>27</v>
      </c>
      <c r="J32" s="184" t="s">
        <v>428</v>
      </c>
    </row>
    <row r="33" ht="13.5" customHeight="1">
      <c r="B33" s="187" t="s">
        <v>429</v>
      </c>
      <c r="C33" s="188">
        <f t="shared" si="5" ref="C33:D33">SUM(C27:C32)</f>
        <v>32000</v>
      </c>
      <c r="D33" s="188">
        <f t="shared" si="5"/>
        <v>28000</v>
      </c>
      <c r="E33" s="188">
        <f t="shared" si="3"/>
        <v>4000</v>
      </c>
      <c r="F33" s="189">
        <f t="shared" si="4"/>
        <v>0.142857142857143</v>
      </c>
      <c r="G33" s="187" t="s">
        <v>342</v>
      </c>
      <c r="H33" s="187" t="s">
        <v>342</v>
      </c>
      <c r="I33" s="187" t="s">
        <v>94</v>
      </c>
      <c r="J33" s="187" t="s">
        <v>430</v>
      </c>
    </row>
    <row r="36" ht="15" customHeight="1">
      <c r="B36" s="190" t="s">
        <v>431</v>
      </c>
      <c r="C36" s="191"/>
      <c r="D36" s="191"/>
      <c r="E36" s="191"/>
      <c r="F36" s="191"/>
      <c r="G36" s="191"/>
      <c r="H36" s="191"/>
      <c r="I36" s="191"/>
      <c r="J36" s="191"/>
    </row>
    <row r="37" ht="13.5" customHeight="1">
      <c r="B37" s="183" t="s">
        <v>349</v>
      </c>
      <c r="C37" s="183" t="s">
        <v>432</v>
      </c>
      <c r="D37" s="183" t="s">
        <v>433</v>
      </c>
      <c r="E37" s="183" t="s">
        <v>434</v>
      </c>
      <c r="F37" s="183" t="s">
        <v>435</v>
      </c>
      <c r="G37" s="183" t="s">
        <v>436</v>
      </c>
      <c r="H37" s="183" t="s">
        <v>352</v>
      </c>
      <c r="I37" s="183" t="s">
        <v>113</v>
      </c>
      <c r="J37" s="183" t="s">
        <v>118</v>
      </c>
    </row>
    <row r="38" ht="15.75" customHeight="1">
      <c r="B38" s="184" t="s">
        <v>437</v>
      </c>
      <c r="C38" s="184" t="s">
        <v>438</v>
      </c>
      <c r="D38" s="184" t="s">
        <v>439</v>
      </c>
      <c r="E38" s="185">
        <v>850</v>
      </c>
      <c r="F38" s="184" t="s">
        <v>440</v>
      </c>
      <c r="G38" s="184" t="s">
        <v>441</v>
      </c>
      <c r="H38" s="184" t="s">
        <v>420</v>
      </c>
      <c r="I38" s="184" t="s">
        <v>442</v>
      </c>
      <c r="J38" s="184" t="s">
        <v>443</v>
      </c>
    </row>
    <row r="39" ht="15.75" customHeight="1">
      <c r="B39" s="184" t="s">
        <v>444</v>
      </c>
      <c r="C39" s="184" t="s">
        <v>438</v>
      </c>
      <c r="D39" s="184" t="s">
        <v>445</v>
      </c>
      <c r="E39" s="185">
        <v>6200</v>
      </c>
      <c r="F39" s="184" t="s">
        <v>446</v>
      </c>
      <c r="G39" s="184" t="s">
        <v>441</v>
      </c>
      <c r="H39" s="184" t="s">
        <v>447</v>
      </c>
      <c r="I39" s="184" t="s">
        <v>448</v>
      </c>
      <c r="J39" s="184" t="s">
        <v>449</v>
      </c>
    </row>
    <row r="40" ht="15.75" customHeight="1">
      <c r="B40" s="184" t="s">
        <v>450</v>
      </c>
      <c r="C40" s="184" t="s">
        <v>438</v>
      </c>
      <c r="D40" s="184" t="s">
        <v>451</v>
      </c>
      <c r="E40" s="185">
        <v>2800</v>
      </c>
      <c r="F40" s="184" t="s">
        <v>446</v>
      </c>
      <c r="G40" s="184" t="s">
        <v>441</v>
      </c>
      <c r="H40" s="184" t="s">
        <v>447</v>
      </c>
      <c r="I40" s="184" t="s">
        <v>442</v>
      </c>
      <c r="J40" s="184" t="s">
        <v>452</v>
      </c>
    </row>
    <row r="41" ht="15.75" customHeight="1">
      <c r="B41" s="184" t="s">
        <v>453</v>
      </c>
      <c r="C41" s="184" t="s">
        <v>454</v>
      </c>
      <c r="D41" s="184" t="s">
        <v>455</v>
      </c>
      <c r="E41" s="185">
        <v>1500</v>
      </c>
      <c r="F41" s="184" t="s">
        <v>456</v>
      </c>
      <c r="G41" s="184" t="s">
        <v>457</v>
      </c>
      <c r="H41" s="184" t="s">
        <v>420</v>
      </c>
      <c r="I41" s="184" t="s">
        <v>458</v>
      </c>
      <c r="J41" s="184" t="s">
        <v>459</v>
      </c>
    </row>
    <row r="42" ht="15.75" customHeight="1">
      <c r="B42" s="184" t="s">
        <v>460</v>
      </c>
      <c r="C42" s="184" t="s">
        <v>438</v>
      </c>
      <c r="D42" s="184" t="s">
        <v>461</v>
      </c>
      <c r="E42" s="185">
        <v>950</v>
      </c>
      <c r="F42" s="184" t="s">
        <v>462</v>
      </c>
      <c r="G42" s="184" t="s">
        <v>441</v>
      </c>
      <c r="H42" s="184" t="s">
        <v>420</v>
      </c>
      <c r="I42" s="184" t="s">
        <v>442</v>
      </c>
      <c r="J42" s="184" t="s">
        <v>463</v>
      </c>
    </row>
    <row r="43" ht="15.75" customHeight="1">
      <c r="B43" s="184" t="s">
        <v>464</v>
      </c>
      <c r="C43" s="184" t="s">
        <v>465</v>
      </c>
      <c r="D43" s="184" t="s">
        <v>466</v>
      </c>
      <c r="E43" s="185">
        <v>500</v>
      </c>
      <c r="F43" s="184" t="s">
        <v>467</v>
      </c>
      <c r="G43" s="184" t="s">
        <v>441</v>
      </c>
      <c r="H43" s="184" t="s">
        <v>415</v>
      </c>
      <c r="I43" s="184" t="s">
        <v>442</v>
      </c>
      <c r="J43" s="184" t="s">
        <v>468</v>
      </c>
    </row>
    <row r="44" ht="13.5" customHeight="1">
      <c r="B44" s="187"/>
      <c r="C44" s="187"/>
      <c r="D44" s="187" t="s">
        <v>469</v>
      </c>
      <c r="E44" s="188">
        <f>_xlfn.IFERROR(SUM(E38:E43),0)</f>
        <v>12800</v>
      </c>
      <c r="F44" s="187"/>
      <c r="G44" s="187"/>
      <c r="H44" s="187"/>
      <c r="I44" s="187"/>
      <c r="J44" s="187" t="s">
        <v>470</v>
      </c>
    </row>
    <row r="47" ht="15" customHeight="1">
      <c r="B47" s="192" t="s">
        <v>471</v>
      </c>
      <c r="C47" s="193"/>
      <c r="D47" s="193"/>
      <c r="F47" s="192" t="s">
        <v>472</v>
      </c>
      <c r="G47" s="193"/>
      <c r="H47" s="193"/>
      <c r="I47" s="193"/>
      <c r="J47" s="193"/>
    </row>
    <row r="48" ht="15.75" customHeight="1">
      <c r="B48" s="194" t="s">
        <v>390</v>
      </c>
      <c r="C48" s="184" t="s">
        <v>473</v>
      </c>
      <c r="F48" s="194" t="s">
        <v>474</v>
      </c>
      <c r="G48" s="184" t="s">
        <v>475</v>
      </c>
    </row>
    <row r="49" ht="15.75" customHeight="1">
      <c r="B49" s="194" t="s">
        <v>387</v>
      </c>
      <c r="C49" s="184" t="s">
        <v>476</v>
      </c>
      <c r="F49" s="194" t="s">
        <v>477</v>
      </c>
      <c r="G49" s="184" t="s">
        <v>478</v>
      </c>
    </row>
    <row r="50" ht="15.75" customHeight="1">
      <c r="B50" s="194" t="s">
        <v>393</v>
      </c>
      <c r="C50" s="184" t="s">
        <v>479</v>
      </c>
      <c r="F50" s="194" t="s">
        <v>480</v>
      </c>
      <c r="G50" s="184" t="s">
        <v>481</v>
      </c>
    </row>
    <row r="51" ht="15.75" customHeight="1">
      <c r="B51" s="194" t="s">
        <v>404</v>
      </c>
      <c r="C51" s="184" t="s">
        <v>482</v>
      </c>
      <c r="F51" s="194" t="s">
        <v>483</v>
      </c>
      <c r="G51" s="184" t="s">
        <v>484</v>
      </c>
    </row>
    <row r="52" ht="15.75" customHeight="1">
      <c r="B52" s="194" t="s">
        <v>409</v>
      </c>
      <c r="C52" s="184" t="s">
        <v>485</v>
      </c>
      <c r="F52" s="194" t="s">
        <v>486</v>
      </c>
      <c r="G52" s="184" t="s">
        <v>487</v>
      </c>
    </row>
    <row r="55" ht="15" customHeight="1">
      <c r="B55" s="195" t="s">
        <v>488</v>
      </c>
      <c r="C55" s="196"/>
      <c r="D55" s="196"/>
      <c r="E55" s="196"/>
      <c r="F55" s="196"/>
      <c r="G55" s="196"/>
      <c r="H55" s="196"/>
      <c r="I55" s="196"/>
      <c r="J55" s="196"/>
    </row>
    <row r="56" ht="13.5" customHeight="1">
      <c r="B56" s="197" t="s">
        <v>489</v>
      </c>
      <c r="C56" s="197" t="s">
        <v>490</v>
      </c>
      <c r="D56" s="197" t="s">
        <v>412</v>
      </c>
      <c r="E56" s="197" t="s">
        <v>491</v>
      </c>
      <c r="F56" s="197" t="s">
        <v>23</v>
      </c>
      <c r="G56" s="197" t="s">
        <v>350</v>
      </c>
      <c r="H56" s="184">
        <v>0</v>
      </c>
      <c r="I56" s="184">
        <v>0</v>
      </c>
      <c r="J56" s="184">
        <v>0</v>
      </c>
    </row>
    <row r="57" ht="15.75" customHeight="1">
      <c r="B57" s="184">
        <v>1</v>
      </c>
      <c r="C57" s="184" t="s">
        <v>492</v>
      </c>
      <c r="D57" s="184" t="s">
        <v>420</v>
      </c>
      <c r="E57" s="184" t="s">
        <v>493</v>
      </c>
      <c r="F57" s="198" t="s">
        <v>494</v>
      </c>
      <c r="G57" s="184" t="s">
        <v>495</v>
      </c>
    </row>
    <row r="58" ht="15.75" customHeight="1">
      <c r="B58" s="184">
        <v>2</v>
      </c>
      <c r="C58" s="184" t="s">
        <v>496</v>
      </c>
      <c r="D58" s="184" t="s">
        <v>415</v>
      </c>
      <c r="E58" s="184" t="s">
        <v>497</v>
      </c>
      <c r="F58" s="199" t="s">
        <v>498</v>
      </c>
      <c r="G58" s="184" t="s">
        <v>499</v>
      </c>
    </row>
    <row r="59" ht="15.75" customHeight="1">
      <c r="B59" s="184">
        <v>3</v>
      </c>
      <c r="C59" s="184" t="s">
        <v>500</v>
      </c>
      <c r="D59" s="184" t="s">
        <v>425</v>
      </c>
      <c r="E59" s="184" t="s">
        <v>501</v>
      </c>
      <c r="F59" s="200" t="s">
        <v>502</v>
      </c>
      <c r="G59" s="184" t="s">
        <v>503</v>
      </c>
    </row>
    <row r="60" ht="15.75" customHeight="1">
      <c r="B60" s="184">
        <v>4</v>
      </c>
      <c r="C60" s="184" t="s">
        <v>504</v>
      </c>
      <c r="D60" s="184" t="s">
        <v>447</v>
      </c>
      <c r="E60" s="184" t="s">
        <v>505</v>
      </c>
      <c r="F60" s="201" t="s">
        <v>506</v>
      </c>
      <c r="G60" s="184" t="s">
        <v>507</v>
      </c>
    </row>
  </sheetData>
  <mergeCells>
    <mergeCell ref="B1:J1"/>
    <mergeCell ref="B2:J2"/>
    <mergeCell ref="B4:J4"/>
  </mergeCell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98EC4BB-ED06-AA0D-41F8-3804B78716F5}" mc:Ignorable="x14ac xr xr2 xr3">
  <dimension ref="A1:GR50000"/>
  <sheetViews>
    <sheetView showGridLines="0" topLeftCell="A11" workbookViewId="0">
      <selection activeCell="A1" sqref="A1"/>
    </sheetView>
  </sheetViews>
  <sheetFormatPr defaultRowHeight="15" defaultColWidth="7.75390625" customHeight="1"/>
  <sheetData>
    <row r="1" ht="24" customHeight="1">
      <c r="A1" s="202" t="s">
        <v>508</v>
      </c>
    </row>
    <row r="2" ht="14.25" customHeight="1">
      <c r="A2" s="203" t="s">
        <v>509</v>
      </c>
    </row>
    <row r="4" ht="16.5" customHeight="1">
      <c r="A4" s="204" t="s">
        <v>510</v>
      </c>
    </row>
    <row r="5" ht="14.25" customHeight="1">
      <c r="A5" s="205" t="s">
        <v>42</v>
      </c>
      <c r="C5" s="205" t="s">
        <v>511</v>
      </c>
      <c r="E5" s="205" t="s">
        <v>229</v>
      </c>
      <c r="G5" s="205" t="s">
        <v>512</v>
      </c>
    </row>
    <row r="6" ht="36" customHeight="1">
      <c r="A6" s="206" cm="1">
        <f t="array" ref="A6">OPS_11_Occupancy_Mix!D12</f>
        <v>0.952191235059761</v>
      </c>
      <c r="C6" s="207" cm="1">
        <f t="array" ref="C6">OPS_11_Occupancy_Mix!G12</f>
        <v>1814.37238493724</v>
      </c>
      <c r="E6" s="208" cm="1">
        <f t="array" ref="E6">OPS_10_Leasing_Funnel!E12</f>
        <v>104</v>
      </c>
      <c r="G6" s="206" cm="1">
        <f t="array" ref="G6">OPS_10_Leasing_Funnel!I12</f>
        <v>0.0903562119895743</v>
      </c>
    </row>
    <row r="8" ht="15.75" customHeight="1">
      <c r="A8" s="209" t="s">
        <v>513</v>
      </c>
      <c r="F8" s="209" t="s">
        <v>514</v>
      </c>
    </row>
    <row r="9" ht="13.5" customHeight="1">
      <c r="A9" s="210" t="s">
        <v>64</v>
      </c>
      <c r="B9" s="210" t="s">
        <v>65</v>
      </c>
      <c r="C9" s="210" t="s">
        <v>515</v>
      </c>
      <c r="D9" s="210" t="s">
        <v>516</v>
      </c>
      <c r="F9" s="210" t="s">
        <v>19</v>
      </c>
      <c r="G9" s="210" t="s">
        <v>517</v>
      </c>
      <c r="H9" s="210" t="s">
        <v>23</v>
      </c>
    </row>
    <row r="10" ht="13.5" customHeight="1">
      <c r="A10" s="211" t="s">
        <v>68</v>
      </c>
      <c r="B10" s="212" cm="1">
        <f t="array" ref="B10">OPS_10_Leasing_Funnel!B12</f>
        <v>1151</v>
      </c>
      <c r="C10" s="213" t="s">
        <v>342</v>
      </c>
      <c r="D10" s="213" t="s">
        <v>342</v>
      </c>
      <c r="F10" s="211" t="s">
        <v>518</v>
      </c>
      <c r="G10" s="214" cm="1">
        <f t="array" ref="G10">MKT_16_Marketing_CPA!B6</f>
        <v>24000</v>
      </c>
      <c r="H10" s="213" t="s">
        <v>342</v>
      </c>
    </row>
    <row r="11" ht="13.5" customHeight="1">
      <c r="A11" s="211" t="s">
        <v>70</v>
      </c>
      <c r="B11" s="212" cm="1">
        <f t="array" ref="B11">OPS_10_Leasing_Funnel!C12</f>
        <v>401</v>
      </c>
      <c r="C11" s="215" cm="1">
        <f t="array" ref="C11">OPS_10_Leasing_Funnel!F12</f>
        <v>0.348392701998262</v>
      </c>
      <c r="D11" s="216">
        <f>C11-0.35</f>
        <v>-0.00160729800173798</v>
      </c>
      <c r="F11" s="211" t="s">
        <v>519</v>
      </c>
      <c r="G11" s="214" cm="1">
        <f t="array" ref="G11">MKT_16_Marketing_CPA!D6</f>
        <v>20.8514335360556</v>
      </c>
      <c r="H11" s="213" t="str">
        <f>IF(G11&lt;=25,"✓ On Track","⚠ High")</f>
        <v>✓ On Track</v>
      </c>
    </row>
    <row r="12" ht="13.5" customHeight="1">
      <c r="A12" s="211" t="s">
        <v>72</v>
      </c>
      <c r="B12" s="212" cm="1">
        <f t="array" ref="B12">OPS_10_Leasing_Funnel!D12</f>
        <v>231</v>
      </c>
      <c r="C12" s="215" cm="1">
        <f t="array" ref="C12">OPS_10_Leasing_Funnel!G12</f>
        <v>0.576059850374065</v>
      </c>
      <c r="D12" s="216">
        <f>C12-0.55</f>
        <v>0.026059850374065</v>
      </c>
      <c r="F12" s="211" t="s">
        <v>520</v>
      </c>
      <c r="G12" s="214" cm="1">
        <f t="array" ref="G12">MKT_16_Marketing_CPA!H6</f>
        <v>230.769230769231</v>
      </c>
      <c r="H12" s="213" t="str">
        <f>IF(G12&lt;=300,"✓ On Track","⚠ High")</f>
        <v>✓ On Track</v>
      </c>
    </row>
    <row r="13" ht="13.5" customHeight="1">
      <c r="A13" s="211" t="s">
        <v>74</v>
      </c>
      <c r="B13" s="212" cm="1">
        <f t="array" ref="B13">OPS_10_Leasing_Funnel!E12</f>
        <v>104</v>
      </c>
      <c r="C13" s="215" cm="1">
        <f t="array" ref="C13">OPS_10_Leasing_Funnel!H12</f>
        <v>0.45021645021645</v>
      </c>
      <c r="D13" s="216">
        <f>C13-0.45</f>
        <v>0.000216450216450004</v>
      </c>
      <c r="F13" s="211" t="s">
        <v>521</v>
      </c>
      <c r="G13" s="217" cm="1">
        <f t="array" ref="G13">MKT_16_Marketing_CPA!B28</f>
        <v>311.313531353135</v>
      </c>
      <c r="H13" s="213" t="str">
        <f>IF(G13&gt;=3,"✓ Healthy","⚠ Low")</f>
        <v>✓ Healthy</v>
      </c>
    </row>
    <row r="15" ht="16.5" customHeight="1">
      <c r="A15" s="218" t="s">
        <v>523</v>
      </c>
    </row>
    <row r="16" ht="13.5" customHeight="1">
      <c r="A16" s="219" t="s">
        <v>524</v>
      </c>
      <c r="B16" s="219" t="s">
        <v>525</v>
      </c>
      <c r="C16" s="219" t="s">
        <v>19</v>
      </c>
      <c r="D16" s="219" t="s">
        <v>517</v>
      </c>
      <c r="E16" s="219" t="s">
        <v>114</v>
      </c>
      <c r="F16" s="219" t="s">
        <v>412</v>
      </c>
      <c r="G16" s="219" t="s">
        <v>526</v>
      </c>
    </row>
    <row r="17" ht="13.5" customHeight="1">
      <c r="A17" s="220" t="s">
        <v>527</v>
      </c>
      <c r="B17" s="211" t="s">
        <v>528</v>
      </c>
      <c r="C17" s="211" t="s">
        <v>529</v>
      </c>
      <c r="D17" s="211" t="s">
        <v>530</v>
      </c>
      <c r="E17" s="211" t="s">
        <v>531</v>
      </c>
      <c r="F17" s="211" t="s">
        <v>532</v>
      </c>
      <c r="G17" s="211" t="s">
        <v>533</v>
      </c>
    </row>
    <row r="18" ht="13.5" customHeight="1">
      <c r="A18" s="221" t="s">
        <v>534</v>
      </c>
      <c r="B18" s="211" t="s">
        <v>535</v>
      </c>
      <c r="C18" s="211" t="s">
        <v>536</v>
      </c>
      <c r="D18" s="211">
        <v>23</v>
      </c>
      <c r="E18" s="211" t="s">
        <v>537</v>
      </c>
      <c r="F18" s="211" t="s">
        <v>538</v>
      </c>
      <c r="G18" s="211" t="s">
        <v>539</v>
      </c>
    </row>
    <row r="19" ht="13.5" customHeight="1">
      <c r="A19" s="221" t="s">
        <v>534</v>
      </c>
      <c r="B19" s="211" t="s">
        <v>540</v>
      </c>
      <c r="C19" s="211" t="s">
        <v>541</v>
      </c>
      <c r="D19" s="211">
        <v>12</v>
      </c>
      <c r="E19" s="211">
        <v>0</v>
      </c>
      <c r="F19" s="211" t="s">
        <v>542</v>
      </c>
      <c r="G19" s="211" t="s">
        <v>543</v>
      </c>
    </row>
    <row r="21" ht="15" customHeight="1">
      <c r="A21" s="222" t="s">
        <v>544</v>
      </c>
      <c r="F21" s="222" t="s">
        <v>545</v>
      </c>
    </row>
    <row r="22" ht="15" customHeight="1">
      <c r="A22" s="210" t="s">
        <v>19</v>
      </c>
      <c r="B22" s="210" t="s">
        <v>533</v>
      </c>
      <c r="C22" s="210" t="s">
        <v>546</v>
      </c>
      <c r="D22" s="210" t="s">
        <v>547</v>
      </c>
      <c r="F22" s="210" t="s">
        <v>66</v>
      </c>
      <c r="G22" s="210" t="s">
        <v>74</v>
      </c>
      <c r="H22" s="210" t="s">
        <v>548</v>
      </c>
    </row>
    <row r="23" ht="15" customHeight="1">
      <c r="A23" s="211" t="s">
        <v>549</v>
      </c>
      <c r="B23" s="212">
        <v>18</v>
      </c>
      <c r="C23" s="212">
        <v>85</v>
      </c>
      <c r="D23" s="212">
        <v>1151</v>
      </c>
      <c r="F23" s="211" t="s">
        <v>550</v>
      </c>
      <c r="G23" s="212" cm="1">
        <f t="array" ref="G23">OPS_10_Leasing_Funnel!E9</f>
        <v>32</v>
      </c>
      <c r="H23" s="214" cm="1">
        <f t="array" ref="H23">MKT_16_Marketing_CPA!H14</f>
        <v>0</v>
      </c>
    </row>
    <row r="24" ht="15" customHeight="1">
      <c r="A24" s="211" t="s">
        <v>551</v>
      </c>
      <c r="B24" s="212">
        <v>6</v>
      </c>
      <c r="C24" s="212">
        <v>32</v>
      </c>
      <c r="D24" s="212">
        <v>401</v>
      </c>
      <c r="F24" s="211" t="s">
        <v>76</v>
      </c>
      <c r="G24" s="212" cm="1">
        <f t="array" ref="G24">OPS_10_Leasing_Funnel!E10</f>
        <v>19</v>
      </c>
      <c r="H24" s="214" cm="1">
        <f t="array" ref="H24">MKT_16_Marketing_CPA!H15</f>
        <v>26.3157894736842</v>
      </c>
    </row>
    <row r="25" ht="15" customHeight="1">
      <c r="A25" s="211" t="s">
        <v>552</v>
      </c>
      <c r="B25" s="212">
        <v>3</v>
      </c>
      <c r="C25" s="212">
        <v>18</v>
      </c>
      <c r="D25" s="212">
        <v>231</v>
      </c>
      <c r="F25" s="211" t="s">
        <v>553</v>
      </c>
      <c r="G25" s="212" cm="1">
        <f t="array" ref="G25">OPS_10_Leasing_Funnel!E5</f>
        <v>18</v>
      </c>
      <c r="H25" s="214" cm="1">
        <f t="array" ref="H25">MKT_16_Marketing_CPA!H10</f>
        <v>472.222222222222</v>
      </c>
    </row>
    <row r="26" ht="15" customHeight="1">
      <c r="A26" s="211" t="s">
        <v>554</v>
      </c>
      <c r="B26" s="212">
        <v>2</v>
      </c>
      <c r="C26" s="212">
        <v>8</v>
      </c>
      <c r="D26" s="212">
        <v>104</v>
      </c>
    </row>
    <row r="27" ht="15" customHeight="1">
      <c r="A27" s="211" t="s">
        <v>555</v>
      </c>
      <c r="B27" s="212">
        <v>1</v>
      </c>
      <c r="C27" s="212">
        <v>5</v>
      </c>
      <c r="D27" s="212">
        <v>19</v>
      </c>
    </row>
    <row r="28" ht="15" customHeight="1">
      <c r="A28" s="211" t="s">
        <v>556</v>
      </c>
      <c r="B28" s="212">
        <v>0</v>
      </c>
      <c r="C28" s="212">
        <v>3</v>
      </c>
      <c r="D28" s="212">
        <v>12</v>
      </c>
    </row>
    <row r="30" ht="15" customHeight="1">
      <c r="A30" s="223" t="s">
        <v>557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B750378-CBF8-CB68-C289-F500C8AE523C}" mc:Ignorable="x14ac xr xr2 xr3">
  <dimension ref="A1:GR50000"/>
  <sheetViews>
    <sheetView showGridLines="0" topLeftCell="A7" workbookViewId="0">
      <selection activeCell="A1" sqref="A1"/>
    </sheetView>
  </sheetViews>
  <sheetFormatPr defaultRowHeight="15" defaultColWidth="7.75390625" customHeight="1"/>
  <sheetData>
    <row r="1" ht="21.75" customHeight="1">
      <c r="A1" s="224" t="s">
        <v>558</v>
      </c>
    </row>
    <row r="2" ht="14.25" customHeight="1">
      <c r="A2" s="203" t="s">
        <v>559</v>
      </c>
    </row>
    <row r="4" ht="16.5" customHeight="1">
      <c r="A4" s="222" t="s">
        <v>560</v>
      </c>
      <c r="I4" s="225" t="s">
        <v>561</v>
      </c>
    </row>
    <row r="5" ht="19.5" customHeight="1">
      <c r="A5" s="210" t="s">
        <v>19</v>
      </c>
      <c r="B5" s="210" t="s">
        <v>20</v>
      </c>
      <c r="C5" s="210" t="s">
        <v>21</v>
      </c>
      <c r="D5" s="210" t="s">
        <v>83</v>
      </c>
      <c r="E5" s="210" t="s">
        <v>84</v>
      </c>
      <c r="F5" s="210" t="s">
        <v>23</v>
      </c>
      <c r="G5" s="210" t="s">
        <v>562</v>
      </c>
      <c r="I5" s="211" t="s">
        <v>9</v>
      </c>
      <c r="J5" s="226" cm="1">
        <f t="array" ref="J5">B15</f>
        <v>0.952191235059761</v>
      </c>
    </row>
    <row r="6" ht="19.5" customHeight="1">
      <c r="A6" s="211" t="s">
        <v>6</v>
      </c>
      <c r="B6" s="227" cm="1">
        <f t="array" ref="B6">FIN_01_Investor_Pack!E7</f>
        <v>0</v>
      </c>
      <c r="C6" s="227">
        <v>52500000</v>
      </c>
      <c r="D6" s="228">
        <f t="shared" si="0" ref="D6:D30">B6-C6</f>
        <v>-52500000</v>
      </c>
      <c r="E6" s="216">
        <f t="shared" si="1" ref="E6:E30">IF(C6=0,0,(B6-C6)/C6)</f>
        <v>-1</v>
      </c>
      <c r="F6" s="213" t="str">
        <f t="shared" si="2" ref="F6:F30">IF(E6&gt;=0,"✓","✗")</f>
        <v>✗</v>
      </c>
      <c r="G6" s="229" t="s">
        <v>563</v>
      </c>
      <c r="I6" s="211" t="s">
        <v>28</v>
      </c>
      <c r="J6" s="230" cm="1">
        <f t="array" ref="J6">B16</f>
        <v>1814.37238493724</v>
      </c>
    </row>
    <row r="7" ht="13.5" customHeight="1">
      <c r="A7" s="211" t="s">
        <v>7</v>
      </c>
      <c r="B7" s="227" cm="1">
        <f t="array" ref="B7">FIN_01_Investor_Pack!E21</f>
        <v>7715000</v>
      </c>
      <c r="C7" s="227">
        <v>32000000</v>
      </c>
      <c r="D7" s="228">
        <f t="shared" si="0"/>
        <v>-24285000</v>
      </c>
      <c r="E7" s="216">
        <f t="shared" si="1"/>
        <v>-0.75890625</v>
      </c>
      <c r="F7" s="213" t="str">
        <f t="shared" si="2"/>
        <v>✗</v>
      </c>
      <c r="G7" s="229" t="s">
        <v>563</v>
      </c>
      <c r="I7" s="211" t="s">
        <v>8</v>
      </c>
      <c r="J7" s="226" cm="1">
        <f t="array" ref="J7">B8</f>
        <v>0</v>
      </c>
    </row>
    <row r="8" ht="19.5" customHeight="1">
      <c r="A8" s="211" t="s">
        <v>29</v>
      </c>
      <c r="B8" s="215">
        <f>IF(B6=0,0,B7/B6)</f>
        <v>0</v>
      </c>
      <c r="C8" s="215">
        <v>0.61</v>
      </c>
      <c r="D8" s="216">
        <f t="shared" si="0"/>
        <v>-0.61</v>
      </c>
      <c r="E8" s="216">
        <f t="shared" si="1"/>
        <v>-1</v>
      </c>
      <c r="F8" s="213" t="str">
        <f t="shared" si="2"/>
        <v>✗</v>
      </c>
      <c r="G8" s="229" t="s">
        <v>564</v>
      </c>
      <c r="I8" s="211" t="s">
        <v>32</v>
      </c>
      <c r="J8" s="226" cm="1">
        <f t="array" ref="J8">B10</f>
        <v>0.0356897735072066</v>
      </c>
    </row>
    <row r="9" ht="19.5" customHeight="1">
      <c r="A9" s="211" t="s">
        <v>10</v>
      </c>
      <c r="B9" s="227" cm="1">
        <f t="array" ref="B9">FIN_01_Investor_Pack!E34</f>
        <v>100000</v>
      </c>
      <c r="C9" s="227">
        <v>28000000</v>
      </c>
      <c r="D9" s="228">
        <f t="shared" si="0"/>
        <v>-27900000</v>
      </c>
      <c r="E9" s="216">
        <f t="shared" si="1"/>
        <v>-0.996428571428571</v>
      </c>
      <c r="F9" s="213" t="str">
        <f t="shared" si="2"/>
        <v>✗</v>
      </c>
      <c r="G9" s="229" t="s">
        <v>563</v>
      </c>
      <c r="I9" s="211" t="s">
        <v>34</v>
      </c>
      <c r="J9" s="231" cm="1">
        <f t="array" ref="J9">B11</f>
        <v>2.85</v>
      </c>
    </row>
    <row r="10" ht="19.5" customHeight="1">
      <c r="A10" s="211" t="s">
        <v>565</v>
      </c>
      <c r="B10" s="215" cm="1">
        <f t="array" ref="B10">FIN_01_Investor_Pack!E58</f>
        <v>0.0356897735072066</v>
      </c>
      <c r="C10" s="215">
        <v>0.025</v>
      </c>
      <c r="D10" s="216">
        <f t="shared" si="0"/>
        <v>0.0106897735072066</v>
      </c>
      <c r="E10" s="216">
        <f t="shared" si="1"/>
        <v>0.427590940288264</v>
      </c>
      <c r="F10" s="213" t="str">
        <f t="shared" si="2"/>
        <v>✓</v>
      </c>
      <c r="G10" s="229" t="s">
        <v>563</v>
      </c>
      <c r="I10" s="211" t="s">
        <v>247</v>
      </c>
      <c r="J10" s="230" cm="1">
        <f t="array" ref="J10">B27</f>
        <v>230.769230769231</v>
      </c>
    </row>
    <row r="11" ht="19.5" customHeight="1">
      <c r="A11" s="211" t="s">
        <v>11</v>
      </c>
      <c r="B11" s="232" cm="1">
        <f t="array" ref="B11">FIN_01_Investor_Pack!C63</f>
        <v>2.85</v>
      </c>
      <c r="C11" s="232">
        <v>1.4</v>
      </c>
      <c r="D11" s="233">
        <f>(B11-C11)</f>
        <v>1.45</v>
      </c>
      <c r="E11" s="216">
        <f t="shared" si="1"/>
        <v>1.03571428571429</v>
      </c>
      <c r="F11" s="213" t="str">
        <f t="shared" si="2"/>
        <v>✓</v>
      </c>
      <c r="G11" s="229" t="s">
        <v>563</v>
      </c>
      <c r="I11" s="211" t="s">
        <v>31</v>
      </c>
      <c r="J11" s="226" cm="1">
        <f t="array" ref="J11">B18</f>
        <v>0.727272727272727</v>
      </c>
    </row>
    <row r="12" ht="19.5" customHeight="1">
      <c r="I12" s="211" t="s">
        <v>566</v>
      </c>
      <c r="J12" s="234" cm="1">
        <f t="array" ref="J12">B20</f>
        <v>19.3925093632959</v>
      </c>
    </row>
    <row r="13" ht="15.75" customHeight="1">
      <c r="A13" s="222" t="s">
        <v>567</v>
      </c>
    </row>
    <row r="14" ht="13.5" customHeight="1">
      <c r="A14" s="210" t="s">
        <v>19</v>
      </c>
      <c r="B14" s="210" t="s">
        <v>20</v>
      </c>
      <c r="C14" s="210" t="s">
        <v>21</v>
      </c>
      <c r="D14" s="210" t="s">
        <v>22</v>
      </c>
      <c r="E14" s="210" t="s">
        <v>84</v>
      </c>
      <c r="F14" s="210" t="s">
        <v>23</v>
      </c>
      <c r="G14" s="210" t="s">
        <v>562</v>
      </c>
    </row>
    <row r="15" ht="13.5" customHeight="1">
      <c r="A15" s="211" t="s">
        <v>26</v>
      </c>
      <c r="B15" s="215" cm="1">
        <f t="array" ref="B15">OPS_11_Occupancy_Mix!D12</f>
        <v>0.952191235059761</v>
      </c>
      <c r="C15" s="215">
        <v>0.94</v>
      </c>
      <c r="D15" s="216">
        <f t="shared" si="0"/>
        <v>0.0121912350597611</v>
      </c>
      <c r="E15" s="216">
        <f t="shared" si="1"/>
        <v>0.0129693989997458</v>
      </c>
      <c r="F15" s="213" t="str">
        <f t="shared" si="2"/>
        <v>✓</v>
      </c>
      <c r="G15" s="229" t="s">
        <v>568</v>
      </c>
    </row>
    <row r="16" ht="13.5" customHeight="1">
      <c r="A16" s="211" t="s">
        <v>28</v>
      </c>
      <c r="B16" s="214" cm="1">
        <f t="array" ref="B16">OPS_11_Occupancy_Mix!G12</f>
        <v>1814.37238493724</v>
      </c>
      <c r="C16" s="214">
        <v>1780</v>
      </c>
      <c r="D16" s="228">
        <f t="shared" si="0"/>
        <v>34.37238493724</v>
      </c>
      <c r="E16" s="216">
        <f t="shared" si="1"/>
        <v>0.019310328616427</v>
      </c>
      <c r="F16" s="213" t="str">
        <f t="shared" si="2"/>
        <v>✓</v>
      </c>
      <c r="G16" s="229" t="s">
        <v>568</v>
      </c>
    </row>
    <row r="17" ht="13.5" customHeight="1">
      <c r="A17" s="211" t="s">
        <v>569</v>
      </c>
      <c r="B17" s="215" cm="1">
        <f t="array" ref="B17">OPS_10_Leasing_Funnel!I12</f>
        <v>0.0903562119895743</v>
      </c>
      <c r="C17" s="215">
        <v>0.08</v>
      </c>
      <c r="D17" s="216">
        <f t="shared" si="0"/>
        <v>0.0103562119895743</v>
      </c>
      <c r="E17" s="216">
        <f t="shared" si="1"/>
        <v>0.129452649869679</v>
      </c>
      <c r="F17" s="213" t="str">
        <f t="shared" si="2"/>
        <v>✓</v>
      </c>
      <c r="G17" s="229" t="s">
        <v>570</v>
      </c>
    </row>
    <row r="18" ht="13.5" customHeight="1">
      <c r="A18" s="211" t="s">
        <v>31</v>
      </c>
      <c r="B18" s="215" cm="1">
        <f t="array" ref="B18">OPS_12_Renewal_Retention!D10</f>
        <v>0.727272727272727</v>
      </c>
      <c r="C18" s="215">
        <v>0.7</v>
      </c>
      <c r="D18" s="216">
        <f t="shared" si="0"/>
        <v>0.027272727272727</v>
      </c>
      <c r="E18" s="216">
        <f t="shared" si="1"/>
        <v>0.0389610389610386</v>
      </c>
      <c r="F18" s="213" t="str">
        <f t="shared" si="2"/>
        <v>✓</v>
      </c>
      <c r="G18" s="229" t="s">
        <v>571</v>
      </c>
    </row>
    <row r="19" ht="13.5" customHeight="1">
      <c r="A19" s="211" t="s">
        <v>572</v>
      </c>
      <c r="B19" s="215" cm="1">
        <f t="array" ref="B19">OPS_12_Renewal_Retention!H13</f>
        <v>0.695833333333333</v>
      </c>
      <c r="C19" s="215">
        <v>0.68</v>
      </c>
      <c r="D19" s="216">
        <f t="shared" si="0"/>
        <v>0.0158333333333329</v>
      </c>
      <c r="E19" s="216">
        <f t="shared" si="1"/>
        <v>0.0232843137254896</v>
      </c>
      <c r="F19" s="213" t="str">
        <f t="shared" si="2"/>
        <v>✓</v>
      </c>
      <c r="G19" s="229" t="s">
        <v>571</v>
      </c>
    </row>
    <row r="20" ht="13.5" customHeight="1">
      <c r="A20" s="211" t="s">
        <v>240</v>
      </c>
      <c r="B20" s="235" cm="1">
        <f t="array" ref="B20">OPS_14_Maintenance_WO!E11</f>
        <v>19.3925093632959</v>
      </c>
      <c r="C20" s="235">
        <v>24</v>
      </c>
      <c r="D20" s="236">
        <f t="shared" si="0"/>
        <v>-4.6074906367041</v>
      </c>
      <c r="E20" s="216">
        <f t="shared" si="3" ref="E20:E27">IF(C20=0,0,(C20-B20)/C20)</f>
        <v>0.191978776529337</v>
      </c>
      <c r="F20" s="213" t="str">
        <f t="shared" si="2"/>
        <v>✓</v>
      </c>
      <c r="G20" s="229" t="s">
        <v>573</v>
      </c>
    </row>
    <row r="21" ht="13.5" customHeight="1">
      <c r="A21" s="211" t="s">
        <v>574</v>
      </c>
      <c r="B21" s="215" cm="1">
        <f t="array" ref="B21">OPS_14_Maintenance_WO!E15</f>
        <v>0.952380952380952</v>
      </c>
      <c r="C21" s="215">
        <v>0.95</v>
      </c>
      <c r="D21" s="216">
        <f t="shared" si="0"/>
        <v>0.00238095238095204</v>
      </c>
      <c r="E21" s="216">
        <f t="shared" si="1"/>
        <v>0.00250626566416004</v>
      </c>
      <c r="F21" s="213" t="str">
        <f t="shared" si="2"/>
        <v>✓</v>
      </c>
      <c r="G21" s="229" t="s">
        <v>573</v>
      </c>
    </row>
    <row r="23" ht="15.75" customHeight="1">
      <c r="A23" s="222" t="s">
        <v>514</v>
      </c>
    </row>
    <row r="24" ht="13.5" customHeight="1">
      <c r="A24" s="210" t="s">
        <v>19</v>
      </c>
      <c r="B24" s="210" t="s">
        <v>20</v>
      </c>
      <c r="C24" s="210" t="s">
        <v>21</v>
      </c>
      <c r="D24" s="210" t="s">
        <v>22</v>
      </c>
      <c r="E24" s="210" t="s">
        <v>84</v>
      </c>
      <c r="F24" s="210" t="s">
        <v>23</v>
      </c>
      <c r="G24" s="210" t="s">
        <v>562</v>
      </c>
    </row>
    <row r="25" ht="13.5" customHeight="1">
      <c r="A25" s="211" t="s">
        <v>575</v>
      </c>
      <c r="B25" s="214" cm="1">
        <f t="array" ref="B25">MKT_16_Marketing_CPA!B6</f>
        <v>24000</v>
      </c>
      <c r="C25" s="214">
        <v>28000</v>
      </c>
      <c r="D25" s="228">
        <f t="shared" si="0"/>
        <v>-4000</v>
      </c>
      <c r="E25" s="216">
        <f t="shared" si="3"/>
        <v>0.142857142857143</v>
      </c>
      <c r="F25" s="213" t="str">
        <f t="shared" si="2"/>
        <v>✓</v>
      </c>
      <c r="G25" s="229" t="s">
        <v>576</v>
      </c>
    </row>
    <row r="26" ht="13.5" customHeight="1">
      <c r="A26" s="211" t="s">
        <v>577</v>
      </c>
      <c r="B26" s="214" cm="1">
        <f t="array" ref="B26">MKT_16_Marketing_CPA!D6</f>
        <v>20.8514335360556</v>
      </c>
      <c r="C26" s="214">
        <v>25</v>
      </c>
      <c r="D26" s="228">
        <f t="shared" si="0"/>
        <v>-4.1485664639444</v>
      </c>
      <c r="E26" s="216">
        <f t="shared" si="3"/>
        <v>0.165942658557776</v>
      </c>
      <c r="F26" s="213" t="str">
        <f t="shared" si="2"/>
        <v>✓</v>
      </c>
      <c r="G26" s="229" t="s">
        <v>576</v>
      </c>
    </row>
    <row r="27" ht="13.5" customHeight="1">
      <c r="A27" s="211" t="s">
        <v>578</v>
      </c>
      <c r="B27" s="214" cm="1">
        <f t="array" ref="B27">MKT_16_Marketing_CPA!H6</f>
        <v>230.769230769231</v>
      </c>
      <c r="C27" s="214">
        <v>300</v>
      </c>
      <c r="D27" s="228">
        <f t="shared" si="0"/>
        <v>-69.230769230769</v>
      </c>
      <c r="E27" s="216">
        <f t="shared" si="3"/>
        <v>0.23076923076923</v>
      </c>
      <c r="F27" s="213" t="str">
        <f t="shared" si="2"/>
        <v>✓</v>
      </c>
      <c r="G27" s="229" t="s">
        <v>576</v>
      </c>
    </row>
    <row r="28" ht="13.5" customHeight="1">
      <c r="A28" s="211" t="s">
        <v>161</v>
      </c>
      <c r="B28" s="212" cm="1">
        <f t="array" ref="B28">MKT_16_Marketing_CPA!C6</f>
        <v>1151</v>
      </c>
      <c r="C28" s="212">
        <v>1200</v>
      </c>
      <c r="D28" s="237">
        <f t="shared" si="0"/>
        <v>-49</v>
      </c>
      <c r="E28" s="216">
        <f t="shared" si="1"/>
        <v>-0.0408333333333333</v>
      </c>
      <c r="F28" s="213" t="str">
        <f t="shared" si="2"/>
        <v>✗</v>
      </c>
      <c r="G28" s="229" t="s">
        <v>576</v>
      </c>
    </row>
    <row r="29" ht="13.5" customHeight="1">
      <c r="A29" s="211" t="s">
        <v>579</v>
      </c>
      <c r="B29" s="212" cm="1">
        <f t="array" ref="B29">MKT_16_Marketing_CPA!G6</f>
        <v>104</v>
      </c>
      <c r="C29" s="212">
        <v>95</v>
      </c>
      <c r="D29" s="237">
        <f t="shared" si="0"/>
        <v>9</v>
      </c>
      <c r="E29" s="216">
        <f t="shared" si="1"/>
        <v>0.0947368421052632</v>
      </c>
      <c r="F29" s="213" t="str">
        <f t="shared" si="2"/>
        <v>✓</v>
      </c>
      <c r="G29" s="229" t="s">
        <v>576</v>
      </c>
    </row>
    <row r="30" ht="13.5" customHeight="1">
      <c r="A30" s="211" t="s">
        <v>521</v>
      </c>
      <c r="B30" s="217" cm="1">
        <f t="array" ref="B30">MKT_16_Marketing_CPA!B28</f>
        <v>311.313531353135</v>
      </c>
      <c r="C30" s="217">
        <v>3</v>
      </c>
      <c r="D30" s="236">
        <f t="shared" si="0"/>
        <v>308.313531353135</v>
      </c>
      <c r="E30" s="216">
        <f t="shared" si="1"/>
        <v>102.771177117712</v>
      </c>
      <c r="F30" s="213" t="str">
        <f t="shared" si="2"/>
        <v>✓</v>
      </c>
      <c r="G30" s="229" t="s">
        <v>576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5BD28C8-D4DF-DCF7-5D77-EA4CA43261E8}" mc:Ignorable="x14ac xr xr2 xr3">
  <dimension ref="A1:GR50000"/>
  <sheetViews>
    <sheetView showGridLines="0" topLeftCell="A7" workbookViewId="0">
      <selection activeCell="A1" sqref="A1"/>
    </sheetView>
  </sheetViews>
  <sheetFormatPr defaultRowHeight="15" defaultColWidth="7.75390625" customHeight="1"/>
  <sheetData>
    <row r="1" ht="21.75" customHeight="1">
      <c r="A1" s="224" t="s">
        <v>580</v>
      </c>
    </row>
    <row r="2" ht="14.25" customHeight="1">
      <c r="A2" s="203" t="s">
        <v>581</v>
      </c>
    </row>
    <row r="4" ht="16.5" customHeight="1">
      <c r="A4" s="222" t="s">
        <v>582</v>
      </c>
      <c r="J4" s="225" t="s">
        <v>583</v>
      </c>
    </row>
    <row r="5" ht="19.5" customHeight="1">
      <c r="A5" s="210" t="s">
        <v>584</v>
      </c>
      <c r="B5" s="210" t="s">
        <v>585</v>
      </c>
      <c r="C5" s="210" t="s">
        <v>586</v>
      </c>
      <c r="D5" s="210" t="s">
        <v>587</v>
      </c>
      <c r="E5" s="210" t="s">
        <v>588</v>
      </c>
      <c r="F5" s="210" t="s">
        <v>23</v>
      </c>
      <c r="G5" s="210" t="s">
        <v>589</v>
      </c>
      <c r="H5" s="210" t="s">
        <v>490</v>
      </c>
      <c r="J5" s="211" t="s">
        <v>590</v>
      </c>
      <c r="K5" s="238">
        <v>5</v>
      </c>
    </row>
    <row r="6" ht="19.5" customHeight="1">
      <c r="A6" s="239" t="s">
        <v>591</v>
      </c>
      <c r="B6" s="213" t="s">
        <v>592</v>
      </c>
      <c r="C6" s="213" t="s">
        <v>593</v>
      </c>
      <c r="D6" s="213" t="s">
        <v>594</v>
      </c>
      <c r="E6" s="212">
        <v>251</v>
      </c>
      <c r="F6" s="213" t="s">
        <v>595</v>
      </c>
      <c r="G6" s="212">
        <v>0</v>
      </c>
      <c r="H6" s="213" t="str">
        <f t="shared" si="0" ref="H6:H10">_xlfn.IFERROR(IF(G6&gt;0,"Review Errors",IF(F6="⚠ STALE","Check Source","—")),"—")</f>
        <v>—</v>
      </c>
      <c r="J6" s="211" t="s">
        <v>596</v>
      </c>
      <c r="K6" s="238">
        <f>_xlfn.IFERROR(SUM(B14:B18),"—")</f>
        <v>60</v>
      </c>
    </row>
    <row r="7" ht="19.5" customHeight="1">
      <c r="A7" s="239" t="s">
        <v>597</v>
      </c>
      <c r="B7" s="213" t="s">
        <v>598</v>
      </c>
      <c r="C7" s="213" t="s">
        <v>599</v>
      </c>
      <c r="D7" s="213" t="s">
        <v>600</v>
      </c>
      <c r="E7" s="212">
        <v>1</v>
      </c>
      <c r="F7" s="213" t="s">
        <v>601</v>
      </c>
      <c r="G7" s="212">
        <v>0</v>
      </c>
      <c r="H7" s="213" t="str">
        <f t="shared" si="0"/>
        <v>Check Source</v>
      </c>
      <c r="J7" s="211" t="s">
        <v>603</v>
      </c>
      <c r="K7" s="238">
        <f>_xlfn.IFERROR(SUM(C14:C18),"—")</f>
        <v>59</v>
      </c>
    </row>
    <row r="8" ht="19.5" customHeight="1">
      <c r="A8" s="239" t="s">
        <v>604</v>
      </c>
      <c r="B8" s="213" t="s">
        <v>605</v>
      </c>
      <c r="C8" s="213" t="s">
        <v>606</v>
      </c>
      <c r="D8" s="213" t="s">
        <v>607</v>
      </c>
      <c r="E8" s="212">
        <v>7</v>
      </c>
      <c r="F8" s="213" t="s">
        <v>595</v>
      </c>
      <c r="G8" s="212">
        <v>2</v>
      </c>
      <c r="H8" s="213" t="str">
        <f t="shared" si="0"/>
        <v>Review Errors</v>
      </c>
      <c r="J8" s="211" t="s">
        <v>609</v>
      </c>
      <c r="K8" s="226">
        <f>_xlfn.IFERROR(IF(K6=0,0,K7/K6),"—")</f>
        <v>0.983333333333333</v>
      </c>
    </row>
    <row r="9" ht="19.5" customHeight="1">
      <c r="A9" s="239" t="s">
        <v>610</v>
      </c>
      <c r="B9" s="213" t="s">
        <v>611</v>
      </c>
      <c r="C9" s="213" t="s">
        <v>612</v>
      </c>
      <c r="D9" s="213" t="s">
        <v>613</v>
      </c>
      <c r="E9" s="212">
        <v>95</v>
      </c>
      <c r="F9" s="213" t="s">
        <v>595</v>
      </c>
      <c r="G9" s="212">
        <v>1</v>
      </c>
      <c r="H9" s="213" t="str">
        <f t="shared" si="0"/>
        <v>Review Errors</v>
      </c>
      <c r="J9" s="211" t="s">
        <v>614</v>
      </c>
      <c r="K9" s="238">
        <f>_xlfn.IFERROR(SUM(G6:G10),"—")</f>
        <v>3</v>
      </c>
    </row>
    <row r="10" ht="19.5" customHeight="1">
      <c r="A10" s="239" t="s">
        <v>615</v>
      </c>
      <c r="B10" s="213" t="s">
        <v>616</v>
      </c>
      <c r="C10" s="213" t="s">
        <v>617</v>
      </c>
      <c r="D10" s="213" t="s">
        <v>618</v>
      </c>
      <c r="E10" s="212">
        <v>48</v>
      </c>
      <c r="F10" s="213" t="s">
        <v>595</v>
      </c>
      <c r="G10" s="212">
        <v>0</v>
      </c>
      <c r="H10" s="213" t="str">
        <f t="shared" si="0"/>
        <v>—</v>
      </c>
      <c r="J10" s="211" t="s">
        <v>619</v>
      </c>
      <c r="K10" s="238">
        <f>_xlfn.IFERROR(COUNTIF(F6:F10,"⚠ STALE"),"—")</f>
        <v>1</v>
      </c>
    </row>
    <row r="11" ht="19.5" customHeight="1">
      <c r="J11" s="211" t="s">
        <v>620</v>
      </c>
      <c r="K11" s="226">
        <f>_xlfn.IFERROR(AVERAGE(C30:C34),"—")</f>
        <v>0.9516</v>
      </c>
    </row>
    <row r="12" ht="15.75" customHeight="1">
      <c r="A12" s="222" t="s">
        <v>621</v>
      </c>
    </row>
    <row r="13" ht="13.5" customHeight="1">
      <c r="A13" s="210" t="s">
        <v>584</v>
      </c>
      <c r="B13" s="210" t="s">
        <v>622</v>
      </c>
      <c r="C13" s="210" t="s">
        <v>603</v>
      </c>
      <c r="D13" s="210" t="s">
        <v>623</v>
      </c>
      <c r="E13" s="210" t="s">
        <v>624</v>
      </c>
      <c r="F13" s="210" t="s">
        <v>23</v>
      </c>
    </row>
    <row r="14" ht="13.5" customHeight="1">
      <c r="A14" s="239" t="s">
        <v>591</v>
      </c>
      <c r="B14" s="212">
        <v>16</v>
      </c>
      <c r="C14" s="212">
        <v>16</v>
      </c>
      <c r="D14" s="212">
        <f t="shared" si="1" ref="D14:D18">_xlfn.IFERROR(B14-C14,"—")</f>
        <v>0</v>
      </c>
      <c r="E14" s="215">
        <f t="shared" si="2" ref="E14:E18">_xlfn.IFERROR(IF(B14=0,0,C14/B14),"—")</f>
        <v>1</v>
      </c>
      <c r="F14" s="213" t="str">
        <f t="shared" si="3" ref="F14:F18">_xlfn.IFERROR(IF(E14=1,"✓ Complete",IF(E14&gt;=0.9,"⚠ Partial","✗ Missing")),"—")</f>
        <v>✓ Complete</v>
      </c>
    </row>
    <row r="15" ht="13.5" customHeight="1">
      <c r="A15" s="239" t="s">
        <v>597</v>
      </c>
      <c r="B15" s="212">
        <v>12</v>
      </c>
      <c r="C15" s="212">
        <v>12</v>
      </c>
      <c r="D15" s="212">
        <f t="shared" si="1"/>
        <v>0</v>
      </c>
      <c r="E15" s="215">
        <f t="shared" si="2"/>
        <v>1</v>
      </c>
      <c r="F15" s="213" t="str">
        <f t="shared" si="3"/>
        <v>✓ Complete</v>
      </c>
    </row>
    <row r="16" ht="13.5" customHeight="1">
      <c r="A16" s="239" t="s">
        <v>604</v>
      </c>
      <c r="B16" s="212">
        <v>10</v>
      </c>
      <c r="C16" s="212">
        <v>10</v>
      </c>
      <c r="D16" s="212">
        <f t="shared" si="1"/>
        <v>0</v>
      </c>
      <c r="E16" s="215">
        <f t="shared" si="2"/>
        <v>1</v>
      </c>
      <c r="F16" s="213" t="str">
        <f t="shared" si="3"/>
        <v>✓ Complete</v>
      </c>
    </row>
    <row r="17" ht="13.5" customHeight="1">
      <c r="A17" s="239" t="s">
        <v>610</v>
      </c>
      <c r="B17" s="212">
        <v>8</v>
      </c>
      <c r="C17" s="212">
        <v>8</v>
      </c>
      <c r="D17" s="212">
        <f t="shared" si="1"/>
        <v>0</v>
      </c>
      <c r="E17" s="215">
        <f t="shared" si="2"/>
        <v>1</v>
      </c>
      <c r="F17" s="213" t="str">
        <f t="shared" si="3"/>
        <v>✓ Complete</v>
      </c>
    </row>
    <row r="18" ht="13.5" customHeight="1">
      <c r="A18" s="239" t="s">
        <v>615</v>
      </c>
      <c r="B18" s="212">
        <v>14</v>
      </c>
      <c r="C18" s="212">
        <v>13</v>
      </c>
      <c r="D18" s="212">
        <f t="shared" si="1"/>
        <v>1</v>
      </c>
      <c r="E18" s="215">
        <f t="shared" si="2"/>
        <v>0.928571428571429</v>
      </c>
      <c r="F18" s="213" t="str">
        <f t="shared" si="3"/>
        <v>⚠ Partial</v>
      </c>
    </row>
    <row r="20" ht="15.75" customHeight="1">
      <c r="A20" s="222" t="s">
        <v>627</v>
      </c>
    </row>
    <row r="21" ht="13.5" customHeight="1">
      <c r="A21" s="210" t="s">
        <v>349</v>
      </c>
      <c r="B21" s="210" t="s">
        <v>584</v>
      </c>
      <c r="C21" s="210" t="s">
        <v>628</v>
      </c>
      <c r="D21" s="210" t="s">
        <v>629</v>
      </c>
      <c r="E21" s="210" t="s">
        <v>65</v>
      </c>
      <c r="F21" s="210" t="s">
        <v>630</v>
      </c>
      <c r="G21" s="210" t="s">
        <v>23</v>
      </c>
      <c r="H21" s="210" t="s">
        <v>631</v>
      </c>
    </row>
    <row r="22" ht="13.5" customHeight="1">
      <c r="A22" s="213" t="s">
        <v>632</v>
      </c>
      <c r="B22" s="213" t="s">
        <v>610</v>
      </c>
      <c r="C22" s="213" t="s">
        <v>633</v>
      </c>
      <c r="D22" s="213" t="s">
        <v>634</v>
      </c>
      <c r="E22" s="213">
        <v>1</v>
      </c>
      <c r="F22" s="213" t="s">
        <v>635</v>
      </c>
      <c r="G22" s="213" t="s">
        <v>498</v>
      </c>
      <c r="H22" s="213" t="s">
        <v>342</v>
      </c>
    </row>
    <row r="23" ht="13.5" customHeight="1">
      <c r="A23" s="213" t="s">
        <v>636</v>
      </c>
      <c r="B23" s="213" t="s">
        <v>604</v>
      </c>
      <c r="C23" s="213" t="s">
        <v>637</v>
      </c>
      <c r="D23" s="213" t="s">
        <v>638</v>
      </c>
      <c r="E23" s="213">
        <v>2</v>
      </c>
      <c r="F23" s="213" t="s">
        <v>639</v>
      </c>
      <c r="G23" s="213" t="s">
        <v>640</v>
      </c>
      <c r="H23" s="213" t="s">
        <v>641</v>
      </c>
    </row>
    <row r="24" ht="13.5" customHeight="1">
      <c r="A24" s="213" t="s">
        <v>642</v>
      </c>
      <c r="B24" s="213" t="s">
        <v>591</v>
      </c>
      <c r="C24" s="213" t="s">
        <v>643</v>
      </c>
      <c r="D24" s="213" t="s">
        <v>644</v>
      </c>
      <c r="E24" s="213">
        <v>3</v>
      </c>
      <c r="F24" s="240" t="s">
        <v>645</v>
      </c>
      <c r="G24" s="213" t="s">
        <v>640</v>
      </c>
      <c r="H24" s="213" t="s">
        <v>646</v>
      </c>
    </row>
    <row r="25" ht="13.5" customHeight="1">
      <c r="A25" s="213" t="s">
        <v>647</v>
      </c>
      <c r="B25" s="213" t="s">
        <v>615</v>
      </c>
      <c r="C25" s="213" t="s">
        <v>648</v>
      </c>
      <c r="D25" s="213" t="s">
        <v>649</v>
      </c>
      <c r="E25" s="213">
        <v>1</v>
      </c>
      <c r="F25" s="241" t="s">
        <v>650</v>
      </c>
      <c r="G25" s="213" t="s">
        <v>640</v>
      </c>
      <c r="H25" s="213" t="s">
        <v>651</v>
      </c>
    </row>
    <row r="26" ht="13.5" customHeight="1">
      <c r="A26" s="213" t="s">
        <v>652</v>
      </c>
      <c r="B26" s="213" t="s">
        <v>597</v>
      </c>
      <c r="C26" s="213" t="s">
        <v>653</v>
      </c>
      <c r="D26" s="213" t="s">
        <v>654</v>
      </c>
      <c r="E26" s="213">
        <v>2</v>
      </c>
      <c r="F26" s="213" t="s">
        <v>635</v>
      </c>
      <c r="G26" s="213" t="s">
        <v>640</v>
      </c>
      <c r="H26" s="213" t="s">
        <v>655</v>
      </c>
    </row>
    <row r="28" ht="15.75" customHeight="1">
      <c r="A28" s="222" t="s">
        <v>656</v>
      </c>
    </row>
    <row r="29" ht="13.5" customHeight="1">
      <c r="A29" s="210" t="s">
        <v>19</v>
      </c>
      <c r="B29" s="210" t="s">
        <v>657</v>
      </c>
      <c r="C29" s="210" t="s">
        <v>85</v>
      </c>
      <c r="D29" s="210" t="s">
        <v>23</v>
      </c>
      <c r="E29" s="210" t="s">
        <v>658</v>
      </c>
    </row>
    <row r="30" ht="13.5" customHeight="1">
      <c r="A30" s="211" t="s">
        <v>659</v>
      </c>
      <c r="B30" s="215">
        <v>1</v>
      </c>
      <c r="C30" s="215">
        <v>0.987</v>
      </c>
      <c r="D30" s="213" t="str">
        <f t="shared" si="4" ref="D30:D34">_xlfn.IFERROR(IF(C30&gt;=B30,"✓ PASS",IF(C30&gt;=B30*0.95,"⚠ WARN","✗ FAIL")),"—")</f>
        <v>⚠ WARN</v>
      </c>
      <c r="E30" s="242" t="s">
        <v>661</v>
      </c>
    </row>
    <row r="31" ht="13.5" customHeight="1">
      <c r="A31" s="211" t="s">
        <v>662</v>
      </c>
      <c r="B31" s="215">
        <v>1</v>
      </c>
      <c r="C31" s="215">
        <v>0.8</v>
      </c>
      <c r="D31" s="213" t="str">
        <f t="shared" si="4"/>
        <v>✗ FAIL</v>
      </c>
      <c r="E31" s="243" t="s">
        <v>664</v>
      </c>
    </row>
    <row r="32" ht="13.5" customHeight="1">
      <c r="A32" s="211" t="s">
        <v>665</v>
      </c>
      <c r="B32" s="215">
        <v>0.99</v>
      </c>
      <c r="C32" s="215">
        <v>0.978</v>
      </c>
      <c r="D32" s="213" t="str">
        <f t="shared" si="4"/>
        <v>⚠ WARN</v>
      </c>
      <c r="E32" s="242" t="s">
        <v>666</v>
      </c>
    </row>
    <row r="33" ht="13.5" customHeight="1">
      <c r="A33" s="211" t="s">
        <v>667</v>
      </c>
      <c r="B33" s="215">
        <v>1</v>
      </c>
      <c r="C33" s="215">
        <v>0.995</v>
      </c>
      <c r="D33" s="213" t="str">
        <f t="shared" si="4"/>
        <v>⚠ WARN</v>
      </c>
      <c r="E33" s="244" t="s">
        <v>668</v>
      </c>
    </row>
    <row r="34" ht="13.5" customHeight="1">
      <c r="A34" s="211" t="s">
        <v>669</v>
      </c>
      <c r="B34" s="215">
        <v>1</v>
      </c>
      <c r="C34" s="215">
        <v>0.998</v>
      </c>
      <c r="D34" s="213" t="str">
        <f t="shared" si="4"/>
        <v>⚠ WARN</v>
      </c>
      <c r="E34" s="242" t="s">
        <v>670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5C887FD-8042-13A8-ECD8-292F2B019CAF}" mc:Ignorable="x14ac xr xr2 xr3">
  <dimension ref="A1:GR50000"/>
  <sheetViews>
    <sheetView showGridLines="0" topLeftCell="A51" workbookViewId="0">
      <selection activeCell="A1" sqref="A1"/>
    </sheetView>
  </sheetViews>
  <sheetFormatPr defaultRowHeight="15" defaultColWidth="7.75390625" customHeight="1"/>
  <cols>
    <col min="1" max="1" width="3.75390625" customWidth="1"/>
    <col min="2" max="2" width="35.00390625" customWidth="1"/>
    <col min="3" max="3" width="11.25390625" customWidth="1"/>
    <col min="4" max="4" width="10.00390625" customWidth="1"/>
  </cols>
  <sheetData>
    <row r="1" ht="21.75" customHeight="1">
      <c r="A1" s="224" t="s">
        <v>671</v>
      </c>
      <c r="B1" s="224"/>
      <c r="C1" s="224"/>
      <c r="D1" s="224"/>
      <c r="E1" s="224"/>
      <c r="F1" s="224"/>
      <c r="G1" s="224"/>
      <c r="H1" s="224"/>
    </row>
    <row r="2" ht="14.25" customHeight="1">
      <c r="A2" s="203" t="s">
        <v>672</v>
      </c>
      <c r="B2" s="203"/>
      <c r="C2" s="203"/>
      <c r="D2" s="203"/>
      <c r="E2" s="203"/>
      <c r="F2" s="203"/>
      <c r="G2" s="203"/>
      <c r="H2" s="203"/>
    </row>
    <row r="4" ht="16.5" customHeight="1">
      <c r="A4" s="245" t="s">
        <v>673</v>
      </c>
      <c r="B4" s="245"/>
      <c r="C4" s="245"/>
      <c r="D4" s="245"/>
    </row>
    <row r="5" ht="13.5" customHeight="1">
      <c r="A5" s="246" t="s">
        <v>489</v>
      </c>
      <c r="B5" s="246" t="s">
        <v>198</v>
      </c>
      <c r="C5" s="246" t="s">
        <v>674</v>
      </c>
      <c r="D5" s="246" t="s">
        <v>412</v>
      </c>
    </row>
    <row r="6" ht="13.5" customHeight="1">
      <c r="A6" s="211">
        <v>1</v>
      </c>
      <c r="B6" s="211" t="s">
        <v>675</v>
      </c>
      <c r="C6" s="211" t="s">
        <v>676</v>
      </c>
      <c r="D6" s="211" t="s">
        <v>355</v>
      </c>
    </row>
    <row r="7" ht="13.5" customHeight="1">
      <c r="A7" s="211">
        <v>2</v>
      </c>
      <c r="B7" s="211" t="s">
        <v>677</v>
      </c>
      <c r="C7" s="211" t="s">
        <v>678</v>
      </c>
      <c r="D7" s="211" t="s">
        <v>679</v>
      </c>
    </row>
    <row r="8" ht="13.5" customHeight="1">
      <c r="A8" s="211">
        <v>3</v>
      </c>
      <c r="B8" s="211" t="s">
        <v>680</v>
      </c>
      <c r="C8" s="211" t="s">
        <v>681</v>
      </c>
      <c r="D8" s="211" t="s">
        <v>682</v>
      </c>
    </row>
    <row r="9" ht="13.5" customHeight="1">
      <c r="A9" s="211">
        <v>4</v>
      </c>
      <c r="B9" s="211" t="s">
        <v>683</v>
      </c>
      <c r="C9" s="211" t="s">
        <v>678</v>
      </c>
      <c r="D9" s="211" t="s">
        <v>684</v>
      </c>
    </row>
    <row r="10" ht="13.5" customHeight="1">
      <c r="A10" s="211">
        <v>5</v>
      </c>
      <c r="B10" s="211" t="s">
        <v>685</v>
      </c>
      <c r="C10" s="211" t="s">
        <v>678</v>
      </c>
      <c r="D10" s="211" t="s">
        <v>355</v>
      </c>
    </row>
    <row r="11" ht="13.5" customHeight="1">
      <c r="A11" s="211">
        <v>6</v>
      </c>
      <c r="B11" s="211" t="s">
        <v>686</v>
      </c>
      <c r="C11" s="211" t="s">
        <v>678</v>
      </c>
      <c r="D11" s="211" t="s">
        <v>679</v>
      </c>
    </row>
    <row r="12" ht="13.5" customHeight="1">
      <c r="A12" s="211">
        <v>7</v>
      </c>
      <c r="B12" s="211" t="s">
        <v>687</v>
      </c>
      <c r="C12" s="211" t="s">
        <v>678</v>
      </c>
      <c r="D12" s="211" t="s">
        <v>355</v>
      </c>
    </row>
    <row r="13" ht="13.5" customHeight="1">
      <c r="A13" s="211">
        <v>8</v>
      </c>
      <c r="B13" s="211" t="s">
        <v>688</v>
      </c>
      <c r="C13" s="211" t="s">
        <v>678</v>
      </c>
      <c r="D13" s="211" t="s">
        <v>684</v>
      </c>
    </row>
    <row r="15" ht="16.5" customHeight="1">
      <c r="A15" s="247" t="s">
        <v>689</v>
      </c>
      <c r="B15" s="247"/>
      <c r="C15" s="247"/>
      <c r="D15" s="247"/>
    </row>
    <row r="16" ht="13.5" customHeight="1">
      <c r="A16" s="248" t="s">
        <v>489</v>
      </c>
      <c r="B16" s="248" t="s">
        <v>198</v>
      </c>
      <c r="C16" s="248" t="s">
        <v>674</v>
      </c>
      <c r="D16" s="248" t="s">
        <v>412</v>
      </c>
    </row>
    <row r="17" ht="13.5" customHeight="1">
      <c r="A17" s="211">
        <v>9</v>
      </c>
      <c r="B17" s="211" t="s">
        <v>690</v>
      </c>
      <c r="C17" s="211" t="s">
        <v>691</v>
      </c>
      <c r="D17" s="211" t="s">
        <v>692</v>
      </c>
    </row>
    <row r="18" ht="13.5" customHeight="1">
      <c r="A18" s="211">
        <v>10</v>
      </c>
      <c r="B18" s="211" t="s">
        <v>693</v>
      </c>
      <c r="C18" s="211" t="s">
        <v>691</v>
      </c>
      <c r="D18" s="211" t="s">
        <v>694</v>
      </c>
    </row>
    <row r="19" ht="13.5" customHeight="1">
      <c r="A19" s="211">
        <v>11</v>
      </c>
      <c r="B19" s="211" t="s">
        <v>695</v>
      </c>
      <c r="C19" s="211" t="s">
        <v>678</v>
      </c>
      <c r="D19" s="211" t="s">
        <v>679</v>
      </c>
    </row>
    <row r="20" ht="13.5" customHeight="1">
      <c r="A20" s="211">
        <v>12</v>
      </c>
      <c r="B20" s="211" t="s">
        <v>696</v>
      </c>
      <c r="C20" s="211" t="s">
        <v>678</v>
      </c>
      <c r="D20" s="211" t="s">
        <v>697</v>
      </c>
    </row>
    <row r="21" ht="13.5" customHeight="1">
      <c r="A21" s="211">
        <v>13</v>
      </c>
      <c r="B21" s="211" t="s">
        <v>698</v>
      </c>
      <c r="C21" s="211" t="s">
        <v>678</v>
      </c>
      <c r="D21" s="211" t="s">
        <v>697</v>
      </c>
    </row>
    <row r="22" ht="13.5" customHeight="1">
      <c r="A22" s="211">
        <v>14</v>
      </c>
      <c r="B22" s="211" t="s">
        <v>699</v>
      </c>
      <c r="C22" s="211" t="s">
        <v>691</v>
      </c>
      <c r="D22" s="211" t="s">
        <v>700</v>
      </c>
    </row>
    <row r="23" ht="13.5" customHeight="1">
      <c r="A23" s="211">
        <v>15</v>
      </c>
      <c r="B23" s="211" t="s">
        <v>701</v>
      </c>
      <c r="C23" s="211" t="s">
        <v>678</v>
      </c>
      <c r="D23" s="211" t="s">
        <v>697</v>
      </c>
    </row>
    <row r="24" ht="13.5" customHeight="1">
      <c r="A24" s="211">
        <v>16</v>
      </c>
      <c r="B24" s="211" t="s">
        <v>702</v>
      </c>
      <c r="C24" s="211" t="s">
        <v>691</v>
      </c>
      <c r="D24" s="211" t="s">
        <v>703</v>
      </c>
    </row>
    <row r="25" ht="13.5" customHeight="1">
      <c r="A25" s="211">
        <v>17</v>
      </c>
      <c r="B25" s="211" t="s">
        <v>704</v>
      </c>
      <c r="C25" s="211" t="s">
        <v>678</v>
      </c>
      <c r="D25" s="211" t="s">
        <v>703</v>
      </c>
    </row>
    <row r="27" ht="16.5" customHeight="1">
      <c r="A27" s="249" t="s">
        <v>705</v>
      </c>
      <c r="B27" s="249"/>
      <c r="C27" s="249"/>
      <c r="D27" s="249"/>
    </row>
    <row r="28" ht="13.5" customHeight="1">
      <c r="A28" s="250" t="s">
        <v>489</v>
      </c>
      <c r="B28" s="250" t="s">
        <v>198</v>
      </c>
      <c r="C28" s="250" t="s">
        <v>674</v>
      </c>
      <c r="D28" s="250" t="s">
        <v>412</v>
      </c>
    </row>
    <row r="29" ht="13.5" customHeight="1">
      <c r="A29" s="211">
        <v>18</v>
      </c>
      <c r="B29" s="211" t="s">
        <v>706</v>
      </c>
      <c r="C29" s="211" t="s">
        <v>707</v>
      </c>
      <c r="D29" s="211" t="s">
        <v>708</v>
      </c>
    </row>
    <row r="30" ht="13.5" customHeight="1">
      <c r="A30" s="211">
        <v>19</v>
      </c>
      <c r="B30" s="211" t="s">
        <v>709</v>
      </c>
      <c r="C30" s="211" t="s">
        <v>678</v>
      </c>
      <c r="D30" s="211" t="s">
        <v>708</v>
      </c>
    </row>
    <row r="31" ht="13.5" customHeight="1">
      <c r="A31" s="211">
        <v>20</v>
      </c>
      <c r="B31" s="211" t="s">
        <v>710</v>
      </c>
      <c r="C31" s="211" t="s">
        <v>678</v>
      </c>
      <c r="D31" s="211" t="s">
        <v>708</v>
      </c>
    </row>
    <row r="33" ht="16.5" customHeight="1">
      <c r="A33" s="251" t="s">
        <v>711</v>
      </c>
      <c r="B33" s="251"/>
      <c r="C33" s="251"/>
      <c r="D33" s="251"/>
    </row>
    <row r="34" ht="13.5" customHeight="1">
      <c r="A34" s="252" t="s">
        <v>489</v>
      </c>
      <c r="B34" s="252" t="s">
        <v>198</v>
      </c>
      <c r="C34" s="252" t="s">
        <v>674</v>
      </c>
      <c r="D34" s="252" t="s">
        <v>412</v>
      </c>
    </row>
    <row r="35" ht="13.5" customHeight="1">
      <c r="A35" s="211">
        <v>21</v>
      </c>
      <c r="B35" s="211" t="s">
        <v>712</v>
      </c>
      <c r="C35" s="211" t="s">
        <v>676</v>
      </c>
      <c r="D35" s="211" t="s">
        <v>713</v>
      </c>
    </row>
    <row r="36" ht="13.5" customHeight="1">
      <c r="A36" s="211">
        <v>22</v>
      </c>
      <c r="B36" s="211" t="s">
        <v>714</v>
      </c>
      <c r="C36" s="211" t="s">
        <v>676</v>
      </c>
      <c r="D36" s="211" t="s">
        <v>715</v>
      </c>
    </row>
    <row r="38" ht="16.5" customHeight="1">
      <c r="A38" s="253" t="s">
        <v>716</v>
      </c>
      <c r="B38" s="253"/>
      <c r="C38" s="253"/>
      <c r="D38" s="253"/>
    </row>
    <row r="39" ht="13.5" customHeight="1">
      <c r="A39" s="254" t="s">
        <v>489</v>
      </c>
      <c r="B39" s="254" t="s">
        <v>198</v>
      </c>
      <c r="C39" s="254" t="s">
        <v>674</v>
      </c>
      <c r="D39" s="254" t="s">
        <v>717</v>
      </c>
    </row>
    <row r="40" ht="13.5" customHeight="1">
      <c r="A40" s="255">
        <v>23</v>
      </c>
      <c r="B40" s="255" t="s">
        <v>718</v>
      </c>
      <c r="C40" s="255" t="s">
        <v>719</v>
      </c>
      <c r="D40" s="255" t="s">
        <v>684</v>
      </c>
    </row>
    <row r="41" ht="13.5" customHeight="1">
      <c r="A41" s="255">
        <v>24</v>
      </c>
      <c r="B41" s="255" t="s">
        <v>720</v>
      </c>
      <c r="C41" s="255" t="s">
        <v>676</v>
      </c>
      <c r="D41" s="255" t="s">
        <v>684</v>
      </c>
    </row>
    <row r="42" ht="13.5" customHeight="1">
      <c r="A42" s="255">
        <v>25</v>
      </c>
      <c r="B42" s="255" t="s">
        <v>721</v>
      </c>
      <c r="C42" s="255" t="s">
        <v>678</v>
      </c>
      <c r="D42" s="255" t="s">
        <v>684</v>
      </c>
    </row>
    <row r="43" ht="13.5" customHeight="1">
      <c r="A43" s="256">
        <v>26</v>
      </c>
      <c r="B43" s="256" t="s">
        <v>722</v>
      </c>
      <c r="C43" s="256" t="s">
        <v>707</v>
      </c>
      <c r="D43" s="256" t="s">
        <v>723</v>
      </c>
    </row>
    <row r="44" ht="13.5" customHeight="1">
      <c r="A44" s="256">
        <v>27</v>
      </c>
      <c r="B44" s="256" t="s">
        <v>724</v>
      </c>
      <c r="C44" s="256" t="s">
        <v>678</v>
      </c>
      <c r="D44" s="256" t="s">
        <v>682</v>
      </c>
    </row>
    <row r="45" ht="13.5" customHeight="1">
      <c r="A45" s="256">
        <v>28</v>
      </c>
      <c r="B45" s="256" t="s">
        <v>725</v>
      </c>
      <c r="C45" s="256" t="s">
        <v>676</v>
      </c>
      <c r="D45" s="256" t="s">
        <v>682</v>
      </c>
    </row>
    <row r="46" ht="13.5" customHeight="1">
      <c r="A46" s="256">
        <v>29</v>
      </c>
      <c r="B46" s="256" t="s">
        <v>726</v>
      </c>
      <c r="C46" s="256" t="s">
        <v>676</v>
      </c>
      <c r="D46" s="256" t="s">
        <v>682</v>
      </c>
    </row>
    <row r="47" ht="13.5" customHeight="1">
      <c r="A47" s="256">
        <v>30</v>
      </c>
      <c r="B47" s="256" t="s">
        <v>727</v>
      </c>
      <c r="C47" s="256" t="s">
        <v>678</v>
      </c>
      <c r="D47" s="256" t="s">
        <v>682</v>
      </c>
    </row>
    <row r="48" ht="13.5" customHeight="1">
      <c r="A48" s="256">
        <v>31</v>
      </c>
      <c r="B48" s="256" t="s">
        <v>728</v>
      </c>
      <c r="C48" s="256" t="s">
        <v>691</v>
      </c>
      <c r="D48" s="256" t="s">
        <v>729</v>
      </c>
    </row>
    <row r="49" ht="13.5" customHeight="1">
      <c r="A49" s="256">
        <v>32</v>
      </c>
      <c r="B49" s="256" t="s">
        <v>730</v>
      </c>
      <c r="C49" s="256" t="s">
        <v>678</v>
      </c>
      <c r="D49" s="256" t="s">
        <v>729</v>
      </c>
    </row>
    <row r="50" ht="13.5" customHeight="1">
      <c r="A50" s="256">
        <v>33</v>
      </c>
      <c r="B50" s="256" t="s">
        <v>731</v>
      </c>
      <c r="C50" s="256" t="s">
        <v>707</v>
      </c>
      <c r="D50" s="256" t="s">
        <v>729</v>
      </c>
    </row>
    <row r="51" ht="13.5" customHeight="1">
      <c r="A51" s="257">
        <v>34</v>
      </c>
      <c r="B51" s="257" t="s">
        <v>732</v>
      </c>
      <c r="C51" s="257" t="s">
        <v>707</v>
      </c>
      <c r="D51" s="257" t="s">
        <v>733</v>
      </c>
    </row>
    <row r="52" ht="13.5" customHeight="1">
      <c r="A52" s="257">
        <v>35</v>
      </c>
      <c r="B52" s="257" t="s">
        <v>734</v>
      </c>
      <c r="C52" s="257" t="s">
        <v>678</v>
      </c>
      <c r="D52" s="257" t="s">
        <v>733</v>
      </c>
    </row>
    <row r="53" ht="13.5" customHeight="1">
      <c r="A53" s="258">
        <v>36</v>
      </c>
      <c r="B53" s="258" t="s">
        <v>735</v>
      </c>
      <c r="C53" s="258" t="s">
        <v>676</v>
      </c>
      <c r="D53" s="258" t="s">
        <v>736</v>
      </c>
    </row>
    <row r="54" ht="13.5" customHeight="1">
      <c r="A54" s="258">
        <v>37</v>
      </c>
      <c r="B54" s="258" t="s">
        <v>737</v>
      </c>
      <c r="C54" s="258" t="s">
        <v>719</v>
      </c>
      <c r="D54" s="258" t="s">
        <v>736</v>
      </c>
    </row>
    <row r="55" ht="13.5" customHeight="1">
      <c r="A55" s="258">
        <v>38</v>
      </c>
      <c r="B55" s="258" t="s">
        <v>738</v>
      </c>
      <c r="C55" s="258" t="s">
        <v>678</v>
      </c>
      <c r="D55" s="258" t="s">
        <v>736</v>
      </c>
    </row>
    <row r="56" ht="13.5" customHeight="1">
      <c r="A56" s="258">
        <v>39</v>
      </c>
      <c r="B56" s="258" t="s">
        <v>739</v>
      </c>
      <c r="C56" s="258" t="s">
        <v>719</v>
      </c>
      <c r="D56" s="258" t="s">
        <v>740</v>
      </c>
    </row>
    <row r="57" ht="13.5" customHeight="1">
      <c r="A57" s="258">
        <v>40</v>
      </c>
      <c r="B57" s="258" t="s">
        <v>741</v>
      </c>
      <c r="C57" s="258" t="s">
        <v>676</v>
      </c>
      <c r="D57" s="258" t="s">
        <v>740</v>
      </c>
    </row>
    <row r="59" ht="16.5" customHeight="1">
      <c r="A59" s="259" t="s">
        <v>742</v>
      </c>
      <c r="B59" s="259"/>
      <c r="C59" s="259"/>
      <c r="D59" s="259"/>
    </row>
    <row r="60" ht="13.5" customHeight="1">
      <c r="A60" s="260" t="s">
        <v>743</v>
      </c>
      <c r="B60" s="260" t="s">
        <v>744</v>
      </c>
      <c r="C60" s="260" t="s">
        <v>745</v>
      </c>
      <c r="D60" s="260" t="s">
        <v>674</v>
      </c>
    </row>
    <row r="61" ht="13.5" customHeight="1">
      <c r="A61" s="211" t="s">
        <v>746</v>
      </c>
      <c r="B61" s="211" t="s">
        <v>747</v>
      </c>
      <c r="C61" s="211" t="s">
        <v>748</v>
      </c>
      <c r="D61" s="211" t="s">
        <v>707</v>
      </c>
    </row>
    <row r="62" ht="13.5" customHeight="1">
      <c r="A62" s="211" t="s">
        <v>749</v>
      </c>
      <c r="B62" s="211" t="s">
        <v>750</v>
      </c>
      <c r="C62" s="211" t="s">
        <v>751</v>
      </c>
      <c r="D62" s="211" t="s">
        <v>678</v>
      </c>
    </row>
    <row r="63" ht="13.5" customHeight="1">
      <c r="A63" s="211" t="s">
        <v>752</v>
      </c>
      <c r="B63" s="211" t="s">
        <v>753</v>
      </c>
      <c r="C63" s="211" t="s">
        <v>754</v>
      </c>
      <c r="D63" s="211" t="s">
        <v>676</v>
      </c>
    </row>
    <row r="64" ht="13.5" customHeight="1">
      <c r="A64" s="211" t="s">
        <v>755</v>
      </c>
      <c r="B64" s="211" t="s">
        <v>756</v>
      </c>
      <c r="C64" s="211" t="s">
        <v>538</v>
      </c>
      <c r="D64" s="211" t="s">
        <v>691</v>
      </c>
    </row>
    <row r="65" ht="13.5" customHeight="1">
      <c r="A65" s="211" t="s">
        <v>757</v>
      </c>
      <c r="B65" s="211" t="s">
        <v>758</v>
      </c>
      <c r="C65" s="211" t="s">
        <v>759</v>
      </c>
      <c r="D65" s="211" t="s">
        <v>678</v>
      </c>
    </row>
    <row r="66" ht="13.5" customHeight="1">
      <c r="A66" s="211" t="s">
        <v>760</v>
      </c>
      <c r="B66" s="211" t="s">
        <v>761</v>
      </c>
      <c r="C66" s="211" t="s">
        <v>762</v>
      </c>
      <c r="D66" s="211" t="s">
        <v>707</v>
      </c>
    </row>
    <row r="67" ht="13.5" customHeight="1">
      <c r="A67" s="211" t="s">
        <v>763</v>
      </c>
      <c r="B67" s="211" t="s">
        <v>764</v>
      </c>
      <c r="C67" s="211" t="s">
        <v>765</v>
      </c>
      <c r="D67" s="211" t="s">
        <v>719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5992A48-5BA2-1A68-9382-4F85422440A8}" mc:Ignorable="x14ac xr xr2 xr3">
  <dimension ref="A1:CV10000"/>
  <sheetViews>
    <sheetView showGridLines="0" topLeftCell="A5" zoomScale="90" workbookViewId="0">
      <selection activeCell="C13" sqref="C13"/>
    </sheetView>
  </sheetViews>
  <sheetFormatPr defaultRowHeight="15.997499999999997" defaultColWidth="9.00390625" customHeight="1"/>
  <cols>
    <col min="1" max="1" width="4.375" customWidth="1"/>
    <col min="2" max="2" width="22.50390625" customWidth="1"/>
    <col min="3" max="3" width="35.00390625" customWidth="1"/>
    <col min="4" max="5" width="11.25390625" customWidth="1"/>
    <col min="6" max="6" width="10.00390625" customWidth="1"/>
    <col min="7" max="7" width="8.75390625" customWidth="1"/>
    <col min="8" max="9" width="12.50390625" customWidth="1"/>
    <col min="10" max="11" width="10.625" customWidth="1"/>
    <col min="12" max="12" width="12.50390625" customWidth="1"/>
    <col min="13" max="13" width="9.375" customWidth="1"/>
    <col min="14" max="14" width="12.50390625" customWidth="1"/>
  </cols>
  <sheetData>
    <row r="1" ht="21.75" customHeight="1">
      <c r="A1" s="261" t="s">
        <v>766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</row>
    <row r="2" ht="15" customHeight="1">
      <c r="A2" s="262" t="s">
        <v>767</v>
      </c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</row>
    <row r="3" ht="16.5" customHeight="1"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4"/>
    </row>
    <row r="4" ht="17.25" customHeight="1">
      <c r="A4" s="265" t="s">
        <v>768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</row>
    <row r="5" ht="16.5" customHeight="1">
      <c r="B5" s="266"/>
      <c r="C5" s="266"/>
      <c r="D5" s="266"/>
      <c r="E5" s="266"/>
      <c r="F5" s="266"/>
      <c r="G5" s="266"/>
      <c r="H5" s="266"/>
      <c r="I5" s="266"/>
      <c r="J5" s="266"/>
      <c r="K5" s="266"/>
      <c r="L5" s="266"/>
      <c r="M5" s="266"/>
      <c r="N5" s="266"/>
    </row>
    <row r="6" ht="15" customHeight="1">
      <c r="A6" s="267" t="s">
        <v>489</v>
      </c>
      <c r="B6" s="267" t="s">
        <v>769</v>
      </c>
      <c r="C6" s="267" t="s">
        <v>770</v>
      </c>
      <c r="D6" s="267" t="s">
        <v>92</v>
      </c>
      <c r="E6" s="267" t="s">
        <v>674</v>
      </c>
      <c r="F6" s="267" t="s">
        <v>412</v>
      </c>
      <c r="G6" s="267" t="s">
        <v>23</v>
      </c>
    </row>
    <row r="7" ht="15" customHeight="1">
      <c r="A7" s="268">
        <v>1</v>
      </c>
      <c r="B7" s="269" t="s">
        <v>203</v>
      </c>
      <c r="C7" s="269" t="s">
        <v>675</v>
      </c>
      <c r="D7" s="270" t="s">
        <v>684</v>
      </c>
      <c r="E7" s="270" t="s">
        <v>676</v>
      </c>
      <c r="F7" s="270" t="s">
        <v>355</v>
      </c>
      <c r="G7" s="270" t="s">
        <v>584</v>
      </c>
      <c r="H7" s="271"/>
      <c r="I7" s="271"/>
      <c r="J7" s="272"/>
      <c r="K7" s="272"/>
      <c r="L7" s="273"/>
      <c r="M7" s="273"/>
      <c r="N7" s="274"/>
    </row>
    <row r="8" ht="15" customHeight="1">
      <c r="A8" s="268">
        <v>2</v>
      </c>
      <c r="B8" s="275" t="s">
        <v>206</v>
      </c>
      <c r="C8" s="276" t="s">
        <v>677</v>
      </c>
      <c r="D8" s="277" t="s">
        <v>684</v>
      </c>
      <c r="E8" s="278" t="s">
        <v>678</v>
      </c>
      <c r="F8" s="279" t="s">
        <v>679</v>
      </c>
      <c r="G8" s="278" t="s">
        <v>584</v>
      </c>
      <c r="H8" s="280"/>
      <c r="I8" s="281"/>
      <c r="J8" s="282"/>
      <c r="K8" s="283"/>
      <c r="L8" s="284"/>
      <c r="M8" s="285"/>
      <c r="N8" s="274"/>
    </row>
    <row r="9" ht="15" customHeight="1">
      <c r="A9" s="268">
        <v>3</v>
      </c>
      <c r="B9" s="276" t="s">
        <v>209</v>
      </c>
      <c r="C9" s="276" t="s">
        <v>680</v>
      </c>
      <c r="D9" s="278" t="s">
        <v>684</v>
      </c>
      <c r="E9" s="278" t="s">
        <v>681</v>
      </c>
      <c r="F9" s="278" t="s">
        <v>682</v>
      </c>
      <c r="G9" s="278" t="s">
        <v>584</v>
      </c>
      <c r="H9" s="281"/>
      <c r="I9" s="281"/>
      <c r="J9" s="283"/>
      <c r="K9" s="283"/>
      <c r="L9" s="285"/>
      <c r="M9" s="285"/>
      <c r="N9" s="274"/>
    </row>
    <row r="10" ht="15" customHeight="1">
      <c r="A10" s="268">
        <v>4</v>
      </c>
      <c r="B10" s="268" t="s">
        <v>212</v>
      </c>
      <c r="C10" s="268" t="s">
        <v>683</v>
      </c>
      <c r="D10" s="268" t="s">
        <v>684</v>
      </c>
      <c r="E10" s="268" t="s">
        <v>678</v>
      </c>
      <c r="F10" s="268" t="s">
        <v>684</v>
      </c>
      <c r="G10" s="268" t="s">
        <v>584</v>
      </c>
    </row>
    <row r="11" ht="15" customHeight="1">
      <c r="A11" s="268">
        <v>5</v>
      </c>
      <c r="B11" s="286" t="s">
        <v>215</v>
      </c>
      <c r="C11" s="286" t="s">
        <v>685</v>
      </c>
      <c r="D11" s="286" t="s">
        <v>684</v>
      </c>
      <c r="E11" s="286" t="s">
        <v>678</v>
      </c>
      <c r="F11" s="286" t="s">
        <v>355</v>
      </c>
      <c r="G11" s="286" t="s">
        <v>584</v>
      </c>
      <c r="H11" s="266"/>
      <c r="I11" s="266"/>
      <c r="J11" s="266"/>
      <c r="K11" s="266"/>
      <c r="L11" s="266"/>
      <c r="M11" s="266"/>
      <c r="N11" s="266"/>
    </row>
    <row r="12" ht="15" customHeight="1">
      <c r="A12" s="268">
        <v>6</v>
      </c>
      <c r="B12" s="268" t="s">
        <v>217</v>
      </c>
      <c r="C12" s="268" t="s">
        <v>686</v>
      </c>
      <c r="D12" s="268" t="s">
        <v>684</v>
      </c>
      <c r="E12" s="268" t="s">
        <v>678</v>
      </c>
      <c r="F12" s="268" t="s">
        <v>679</v>
      </c>
      <c r="G12" s="268" t="s">
        <v>584</v>
      </c>
    </row>
    <row r="13" ht="15" customHeight="1">
      <c r="A13" s="268">
        <v>7</v>
      </c>
      <c r="B13" s="287" t="s">
        <v>220</v>
      </c>
      <c r="C13" s="288" t="s">
        <v>687</v>
      </c>
      <c r="D13" s="288" t="s">
        <v>684</v>
      </c>
      <c r="E13" s="288" t="s">
        <v>678</v>
      </c>
      <c r="F13" s="288" t="s">
        <v>355</v>
      </c>
      <c r="G13" s="288" t="s">
        <v>584</v>
      </c>
      <c r="H13" s="289"/>
      <c r="I13" s="289"/>
    </row>
    <row r="14" ht="15" customHeight="1">
      <c r="A14" s="268">
        <v>8</v>
      </c>
      <c r="B14" s="290" t="s">
        <v>223</v>
      </c>
      <c r="C14" s="291" t="s">
        <v>688</v>
      </c>
      <c r="D14" s="291" t="s">
        <v>684</v>
      </c>
      <c r="E14" s="291" t="s">
        <v>678</v>
      </c>
      <c r="F14" s="291" t="s">
        <v>684</v>
      </c>
      <c r="G14" s="292" t="s">
        <v>584</v>
      </c>
      <c r="H14" s="293"/>
      <c r="I14" s="293"/>
    </row>
    <row r="15" ht="15" customHeight="1">
      <c r="A15" s="268">
        <v>9</v>
      </c>
      <c r="B15" s="294" t="s">
        <v>228</v>
      </c>
      <c r="C15" s="295" t="s">
        <v>690</v>
      </c>
      <c r="D15" s="295" t="s">
        <v>723</v>
      </c>
      <c r="E15" s="295" t="s">
        <v>691</v>
      </c>
      <c r="F15" s="295" t="s">
        <v>692</v>
      </c>
      <c r="G15" s="296" t="s">
        <v>584</v>
      </c>
      <c r="H15" s="297"/>
      <c r="I15" s="297"/>
    </row>
    <row r="16" ht="15" customHeight="1">
      <c r="A16" s="268">
        <v>10</v>
      </c>
      <c r="B16" s="290" t="s">
        <v>231</v>
      </c>
      <c r="C16" s="291" t="s">
        <v>693</v>
      </c>
      <c r="D16" s="291" t="s">
        <v>723</v>
      </c>
      <c r="E16" s="291" t="s">
        <v>691</v>
      </c>
      <c r="F16" s="291" t="s">
        <v>694</v>
      </c>
      <c r="G16" s="292" t="s">
        <v>584</v>
      </c>
      <c r="H16" s="293"/>
      <c r="I16" s="293"/>
    </row>
    <row r="17" ht="15" customHeight="1">
      <c r="A17" s="268">
        <v>11</v>
      </c>
      <c r="B17" s="294" t="s">
        <v>233</v>
      </c>
      <c r="C17" s="295" t="s">
        <v>695</v>
      </c>
      <c r="D17" s="295" t="s">
        <v>723</v>
      </c>
      <c r="E17" s="295" t="s">
        <v>678</v>
      </c>
      <c r="F17" s="295" t="s">
        <v>679</v>
      </c>
      <c r="G17" s="296" t="s">
        <v>584</v>
      </c>
      <c r="H17" s="297"/>
      <c r="I17" s="297"/>
    </row>
    <row r="18" ht="15" customHeight="1">
      <c r="A18" s="268">
        <v>12</v>
      </c>
      <c r="B18" s="298" t="s">
        <v>235</v>
      </c>
      <c r="C18" s="299" t="s">
        <v>696</v>
      </c>
      <c r="D18" s="299" t="s">
        <v>723</v>
      </c>
      <c r="E18" s="299" t="s">
        <v>678</v>
      </c>
      <c r="F18" s="299" t="s">
        <v>697</v>
      </c>
      <c r="G18" s="300" t="s">
        <v>584</v>
      </c>
      <c r="H18" s="301"/>
      <c r="I18" s="301"/>
    </row>
    <row r="19" ht="15" customHeight="1">
      <c r="A19" s="268">
        <v>13</v>
      </c>
      <c r="B19" s="268" t="s">
        <v>237</v>
      </c>
      <c r="C19" s="268" t="s">
        <v>698</v>
      </c>
      <c r="D19" s="268" t="s">
        <v>682</v>
      </c>
      <c r="E19" s="268" t="s">
        <v>678</v>
      </c>
      <c r="F19" s="268" t="s">
        <v>697</v>
      </c>
      <c r="G19" s="268" t="s">
        <v>584</v>
      </c>
    </row>
    <row r="20" ht="15" customHeight="1">
      <c r="A20" s="268">
        <v>14</v>
      </c>
      <c r="B20" s="286" t="s">
        <v>239</v>
      </c>
      <c r="C20" s="286" t="s">
        <v>699</v>
      </c>
      <c r="D20" s="286" t="s">
        <v>682</v>
      </c>
      <c r="E20" s="286" t="s">
        <v>691</v>
      </c>
      <c r="F20" s="286" t="s">
        <v>700</v>
      </c>
      <c r="G20" s="286" t="s">
        <v>584</v>
      </c>
      <c r="H20" s="266"/>
      <c r="I20" s="266"/>
      <c r="J20" s="266"/>
      <c r="K20" s="266"/>
      <c r="L20" s="266"/>
      <c r="M20" s="266"/>
      <c r="N20" s="266"/>
    </row>
    <row r="21" ht="15" customHeight="1">
      <c r="A21" s="268">
        <v>15</v>
      </c>
      <c r="B21" s="268" t="s">
        <v>242</v>
      </c>
      <c r="C21" s="268" t="s">
        <v>701</v>
      </c>
      <c r="D21" s="268" t="s">
        <v>682</v>
      </c>
      <c r="E21" s="268" t="s">
        <v>678</v>
      </c>
      <c r="F21" s="268" t="s">
        <v>697</v>
      </c>
      <c r="G21" s="268" t="s">
        <v>584</v>
      </c>
    </row>
    <row r="22" ht="15" customHeight="1">
      <c r="A22" s="268">
        <v>16</v>
      </c>
      <c r="B22" s="302" t="s">
        <v>246</v>
      </c>
      <c r="C22" s="303" t="s">
        <v>702</v>
      </c>
      <c r="D22" s="303" t="s">
        <v>729</v>
      </c>
      <c r="E22" s="303" t="s">
        <v>691</v>
      </c>
      <c r="F22" s="303" t="s">
        <v>703</v>
      </c>
      <c r="G22" s="303" t="s">
        <v>584</v>
      </c>
    </row>
    <row r="23" ht="15" customHeight="1">
      <c r="A23" s="268">
        <v>17</v>
      </c>
      <c r="B23" s="304" t="s">
        <v>249</v>
      </c>
      <c r="C23" s="305" t="s">
        <v>704</v>
      </c>
      <c r="D23" s="305" t="s">
        <v>729</v>
      </c>
      <c r="E23" s="305" t="s">
        <v>678</v>
      </c>
      <c r="F23" s="306" t="s">
        <v>703</v>
      </c>
      <c r="G23" s="307" t="s">
        <v>584</v>
      </c>
    </row>
    <row r="24" ht="15" customHeight="1">
      <c r="A24" s="268">
        <v>18</v>
      </c>
      <c r="B24" s="308" t="s">
        <v>252</v>
      </c>
      <c r="C24" s="309" t="s">
        <v>706</v>
      </c>
      <c r="D24" s="309" t="s">
        <v>733</v>
      </c>
      <c r="E24" s="309" t="s">
        <v>707</v>
      </c>
      <c r="F24" s="310" t="s">
        <v>708</v>
      </c>
      <c r="G24" s="311" t="s">
        <v>584</v>
      </c>
    </row>
    <row r="25" ht="15" customHeight="1">
      <c r="A25" s="268">
        <v>19</v>
      </c>
      <c r="B25" s="304" t="s">
        <v>255</v>
      </c>
      <c r="C25" s="305" t="s">
        <v>709</v>
      </c>
      <c r="D25" s="305" t="s">
        <v>733</v>
      </c>
      <c r="E25" s="305" t="s">
        <v>678</v>
      </c>
      <c r="F25" s="306" t="s">
        <v>708</v>
      </c>
      <c r="G25" s="307" t="s">
        <v>584</v>
      </c>
    </row>
    <row r="26" ht="15" customHeight="1">
      <c r="A26" s="268">
        <v>20</v>
      </c>
      <c r="B26" s="308" t="s">
        <v>259</v>
      </c>
      <c r="C26" s="309" t="s">
        <v>710</v>
      </c>
      <c r="D26" s="309" t="s">
        <v>733</v>
      </c>
      <c r="E26" s="309" t="s">
        <v>678</v>
      </c>
      <c r="F26" s="310" t="s">
        <v>708</v>
      </c>
      <c r="G26" s="311" t="s">
        <v>584</v>
      </c>
    </row>
    <row r="27" ht="15" customHeight="1">
      <c r="A27" s="268">
        <v>21</v>
      </c>
      <c r="B27" s="304" t="s">
        <v>264</v>
      </c>
      <c r="C27" s="305" t="s">
        <v>712</v>
      </c>
      <c r="D27" s="305" t="s">
        <v>771</v>
      </c>
      <c r="E27" s="305" t="s">
        <v>676</v>
      </c>
      <c r="F27" s="306" t="s">
        <v>713</v>
      </c>
      <c r="G27" s="307" t="s">
        <v>584</v>
      </c>
    </row>
    <row r="28" ht="15" customHeight="1">
      <c r="A28" s="268">
        <v>22</v>
      </c>
      <c r="B28" s="308" t="s">
        <v>268</v>
      </c>
      <c r="C28" s="309" t="s">
        <v>714</v>
      </c>
      <c r="D28" s="309" t="s">
        <v>740</v>
      </c>
      <c r="E28" s="309" t="s">
        <v>676</v>
      </c>
      <c r="F28" s="310" t="s">
        <v>715</v>
      </c>
      <c r="G28" s="311" t="s">
        <v>584</v>
      </c>
    </row>
    <row r="29" ht="16.5" customHeight="1">
      <c r="B29" s="312"/>
      <c r="C29" s="313"/>
      <c r="D29" s="313"/>
      <c r="E29" s="313"/>
      <c r="F29" s="314"/>
      <c r="G29" s="315"/>
    </row>
    <row r="30" ht="16.5" customHeight="1">
      <c r="B30" s="316"/>
      <c r="C30" s="317"/>
      <c r="D30" s="317"/>
      <c r="E30" s="317"/>
      <c r="F30" s="318"/>
      <c r="G30" s="319"/>
    </row>
    <row r="31" ht="17.25" customHeight="1">
      <c r="A31" s="265" t="s">
        <v>772</v>
      </c>
      <c r="B31" s="265"/>
      <c r="C31" s="320"/>
      <c r="D31" s="320"/>
      <c r="E31" s="320"/>
      <c r="F31" s="321"/>
      <c r="G31" s="322"/>
    </row>
    <row r="32" ht="16.5" customHeight="1">
      <c r="B32" s="316"/>
      <c r="C32" s="317"/>
      <c r="D32" s="317"/>
      <c r="E32" s="317"/>
      <c r="F32" s="318"/>
      <c r="G32" s="319"/>
    </row>
    <row r="33" ht="15" customHeight="1">
      <c r="A33" s="268" t="s">
        <v>773</v>
      </c>
      <c r="B33" s="323" t="s">
        <v>774</v>
      </c>
      <c r="C33" s="324" t="s">
        <v>775</v>
      </c>
      <c r="D33" s="324" t="s">
        <v>776</v>
      </c>
      <c r="E33" s="324" t="s">
        <v>342</v>
      </c>
      <c r="F33" s="325" t="s">
        <v>777</v>
      </c>
      <c r="G33" s="326" t="s">
        <v>584</v>
      </c>
    </row>
    <row r="34" ht="15" customHeight="1">
      <c r="A34" s="268" t="s">
        <v>773</v>
      </c>
      <c r="B34" s="268" t="s">
        <v>778</v>
      </c>
      <c r="C34" s="268" t="s">
        <v>779</v>
      </c>
      <c r="D34" s="268" t="s">
        <v>780</v>
      </c>
      <c r="E34" s="268" t="s">
        <v>342</v>
      </c>
      <c r="F34" s="268" t="s">
        <v>777</v>
      </c>
      <c r="G34" s="268" t="s">
        <v>584</v>
      </c>
    </row>
    <row r="35" ht="15" customHeight="1">
      <c r="A35" s="268" t="s">
        <v>773</v>
      </c>
      <c r="B35" s="286" t="s">
        <v>781</v>
      </c>
      <c r="C35" s="286" t="s">
        <v>782</v>
      </c>
      <c r="D35" s="286" t="s">
        <v>783</v>
      </c>
      <c r="E35" s="286" t="s">
        <v>342</v>
      </c>
      <c r="F35" s="286" t="s">
        <v>777</v>
      </c>
      <c r="G35" s="286" t="s">
        <v>584</v>
      </c>
      <c r="H35" s="266"/>
      <c r="I35" s="266"/>
      <c r="J35" s="266"/>
      <c r="K35" s="266"/>
      <c r="L35" s="266"/>
      <c r="M35" s="266"/>
      <c r="N35" s="266"/>
    </row>
    <row r="36" ht="15" customHeight="1">
      <c r="A36" s="268" t="s">
        <v>773</v>
      </c>
      <c r="B36" s="327" t="s">
        <v>784</v>
      </c>
      <c r="C36" s="327" t="s">
        <v>785</v>
      </c>
      <c r="D36" s="327" t="s">
        <v>736</v>
      </c>
      <c r="E36" s="327" t="s">
        <v>342</v>
      </c>
      <c r="F36" s="327" t="s">
        <v>777</v>
      </c>
      <c r="G36" s="327" t="s">
        <v>584</v>
      </c>
      <c r="H36" s="328"/>
      <c r="I36" s="328"/>
      <c r="J36" s="328"/>
      <c r="K36" s="328"/>
      <c r="L36" s="328"/>
      <c r="M36" s="328"/>
      <c r="N36" s="328"/>
    </row>
    <row r="37" ht="15" customHeight="1">
      <c r="A37" s="268" t="s">
        <v>773</v>
      </c>
      <c r="B37" s="268" t="s">
        <v>786</v>
      </c>
      <c r="C37" s="268" t="s">
        <v>787</v>
      </c>
      <c r="D37" s="268" t="s">
        <v>788</v>
      </c>
      <c r="E37" s="268" t="s">
        <v>691</v>
      </c>
      <c r="F37" s="268" t="s">
        <v>789</v>
      </c>
      <c r="G37" s="268" t="s">
        <v>584</v>
      </c>
    </row>
    <row r="38" ht="16.5" customHeight="1">
      <c r="B38" s="329"/>
      <c r="C38" s="330"/>
      <c r="D38" s="330"/>
      <c r="E38" s="330"/>
      <c r="F38" s="330"/>
      <c r="G38" s="330"/>
      <c r="H38" s="330"/>
      <c r="I38" s="330"/>
      <c r="J38" s="330"/>
      <c r="K38" s="330"/>
    </row>
    <row r="39" ht="16.5" customHeight="1">
      <c r="B39" s="312"/>
      <c r="C39" s="331"/>
      <c r="D39" s="331"/>
      <c r="E39" s="331"/>
      <c r="F39" s="331"/>
      <c r="G39" s="331"/>
      <c r="H39" s="331"/>
      <c r="I39" s="331"/>
      <c r="J39" s="332"/>
      <c r="K39" s="332"/>
    </row>
    <row r="40" ht="16.5" customHeight="1">
      <c r="B40" s="316"/>
      <c r="C40" s="333"/>
      <c r="D40" s="333"/>
      <c r="E40" s="333"/>
      <c r="F40" s="333"/>
      <c r="G40" s="333"/>
      <c r="H40" s="333"/>
      <c r="I40" s="333"/>
      <c r="J40" s="332"/>
      <c r="K40" s="332"/>
    </row>
    <row r="41" ht="16.5" customHeight="1">
      <c r="B41" s="312"/>
      <c r="C41" s="331"/>
      <c r="D41" s="331"/>
      <c r="E41" s="331"/>
      <c r="F41" s="331"/>
      <c r="G41" s="331"/>
      <c r="H41" s="331"/>
      <c r="I41" s="331"/>
      <c r="J41" s="332"/>
      <c r="K41" s="332"/>
    </row>
    <row r="42" ht="16.5" customHeight="1">
      <c r="B42" s="316"/>
      <c r="C42" s="333"/>
      <c r="D42" s="333"/>
      <c r="E42" s="333"/>
      <c r="F42" s="333"/>
      <c r="G42" s="333"/>
      <c r="H42" s="333"/>
      <c r="I42" s="333"/>
      <c r="J42" s="332"/>
      <c r="K42" s="332"/>
    </row>
    <row r="43" ht="16.5" customHeight="1">
      <c r="B43" s="312"/>
      <c r="C43" s="331"/>
      <c r="D43" s="331"/>
      <c r="E43" s="331"/>
      <c r="F43" s="331"/>
      <c r="G43" s="331"/>
      <c r="H43" s="331"/>
      <c r="I43" s="331"/>
      <c r="J43" s="332"/>
      <c r="K43" s="332"/>
    </row>
    <row r="44" ht="16.5" customHeight="1">
      <c r="B44" s="316"/>
      <c r="C44" s="333"/>
      <c r="D44" s="333"/>
      <c r="E44" s="333"/>
      <c r="F44" s="333"/>
      <c r="G44" s="333"/>
      <c r="H44" s="333"/>
      <c r="I44" s="333"/>
      <c r="J44" s="332"/>
      <c r="K44" s="332"/>
    </row>
    <row r="45" ht="16.5" customHeight="1">
      <c r="B45" s="312"/>
      <c r="C45" s="331"/>
      <c r="D45" s="331"/>
      <c r="E45" s="331"/>
      <c r="F45" s="331"/>
      <c r="G45" s="331"/>
      <c r="H45" s="331"/>
      <c r="I45" s="331"/>
      <c r="J45" s="332"/>
      <c r="K45" s="332"/>
    </row>
    <row r="46" ht="16.5" customHeight="1">
      <c r="B46" s="316"/>
      <c r="C46" s="333"/>
      <c r="D46" s="333"/>
      <c r="E46" s="333"/>
      <c r="F46" s="333"/>
      <c r="G46" s="333"/>
      <c r="H46" s="333"/>
      <c r="I46" s="333"/>
      <c r="J46" s="332"/>
      <c r="K46" s="332"/>
    </row>
    <row r="47" ht="16.5" customHeight="1"/>
    <row r="48" ht="16.5" customHeight="1">
      <c r="B48" s="334"/>
      <c r="C48" s="334"/>
      <c r="D48" s="334"/>
      <c r="E48" s="334"/>
      <c r="F48" s="334"/>
      <c r="G48" s="334"/>
      <c r="H48" s="334"/>
      <c r="I48" s="334"/>
      <c r="J48" s="334"/>
      <c r="K48" s="334"/>
    </row>
    <row r="49" ht="16.5" customHeight="1">
      <c r="B49" s="335"/>
      <c r="J49" s="336"/>
    </row>
    <row r="50" ht="16.5" customHeight="1">
      <c r="B50" s="335"/>
      <c r="J50" s="336"/>
    </row>
    <row r="51" ht="16.5" customHeight="1">
      <c r="B51" s="335"/>
      <c r="J51" s="336"/>
    </row>
    <row r="52" ht="16.5" customHeight="1">
      <c r="B52" s="337"/>
      <c r="C52" s="338"/>
      <c r="D52" s="338"/>
      <c r="E52" s="338"/>
      <c r="F52" s="338"/>
      <c r="G52" s="338"/>
      <c r="H52" s="338"/>
      <c r="I52" s="338"/>
      <c r="J52" s="339"/>
      <c r="K52" s="338"/>
    </row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legacyDrawing r:id="rId2"/>
  <extLst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3C80328-75D8-EE2B-A6DD-B1458BE1A9B8}" mc:Ignorable="x14ac xr xr2 xr3">
  <dimension ref="A1:GR50000"/>
  <sheetViews>
    <sheetView showGridLines="0" topLeftCell="A1" workbookViewId="0">
      <selection activeCell="A1" sqref="A1"/>
    </sheetView>
  </sheetViews>
  <sheetFormatPr defaultRowHeight="15" defaultColWidth="7.75390625" customHeight="1"/>
  <cols>
    <col min="1" max="1" width="17.50390625" customWidth="1"/>
    <col min="2" max="2" width="9.375" customWidth="1"/>
    <col min="3" max="3" width="7.50390625" customWidth="1"/>
    <col min="4" max="4" width="22.50390625" customWidth="1"/>
    <col min="5" max="5" width="13.75390625" customWidth="1"/>
    <col min="6" max="6" width="20.00390625" customWidth="1"/>
  </cols>
  <sheetData>
    <row r="1" ht="19.5" customHeight="1">
      <c r="A1" s="340" t="s">
        <v>790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</row>
    <row r="2" ht="14.25" customHeight="1">
      <c r="A2" s="203" t="s">
        <v>791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</row>
    <row r="4" ht="15.75" customHeight="1">
      <c r="A4" s="209" t="s">
        <v>792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</row>
    <row r="5" ht="14.25" customHeight="1">
      <c r="A5" s="341" t="s">
        <v>793</v>
      </c>
      <c r="B5" s="341" t="s">
        <v>794</v>
      </c>
      <c r="C5" s="341" t="s">
        <v>795</v>
      </c>
      <c r="D5" s="341" t="s">
        <v>796</v>
      </c>
      <c r="E5" s="341" t="s">
        <v>797</v>
      </c>
      <c r="F5" s="341" t="s">
        <v>118</v>
      </c>
    </row>
    <row r="6" ht="14.25" customHeight="1">
      <c r="A6" s="342" t="s">
        <v>798</v>
      </c>
      <c r="B6" s="342" t="s">
        <v>799</v>
      </c>
      <c r="C6" s="342" t="s">
        <v>800</v>
      </c>
      <c r="D6" s="342" t="s">
        <v>801</v>
      </c>
      <c r="E6" s="342" t="s">
        <v>802</v>
      </c>
      <c r="F6" s="342" t="s">
        <v>803</v>
      </c>
    </row>
    <row r="7" ht="14.25" customHeight="1">
      <c r="A7" s="342" t="s">
        <v>804</v>
      </c>
      <c r="B7" s="342" t="s">
        <v>799</v>
      </c>
      <c r="C7" s="342" t="s">
        <v>800</v>
      </c>
      <c r="D7" s="342" t="s">
        <v>805</v>
      </c>
      <c r="E7" s="342" t="s">
        <v>806</v>
      </c>
      <c r="F7" s="342" t="s">
        <v>807</v>
      </c>
    </row>
    <row r="8" ht="14.25" customHeight="1">
      <c r="A8" s="342" t="s">
        <v>644</v>
      </c>
      <c r="B8" s="342" t="s">
        <v>799</v>
      </c>
      <c r="C8" s="342" t="s">
        <v>800</v>
      </c>
      <c r="D8" s="342" t="s">
        <v>808</v>
      </c>
      <c r="E8" s="342">
        <v>101</v>
      </c>
      <c r="F8" s="342" t="s">
        <v>809</v>
      </c>
    </row>
    <row r="9" ht="14.25" customHeight="1">
      <c r="A9" s="342" t="s">
        <v>810</v>
      </c>
      <c r="B9" s="342" t="s">
        <v>799</v>
      </c>
      <c r="C9" s="342" t="s">
        <v>800</v>
      </c>
      <c r="D9" s="342" t="s">
        <v>811</v>
      </c>
      <c r="E9" s="342" t="s">
        <v>48</v>
      </c>
      <c r="F9" s="342" t="s">
        <v>812</v>
      </c>
    </row>
    <row r="10" ht="14.25" customHeight="1">
      <c r="A10" s="342" t="s">
        <v>813</v>
      </c>
      <c r="B10" s="342" t="s">
        <v>814</v>
      </c>
      <c r="C10" s="342" t="s">
        <v>800</v>
      </c>
      <c r="D10" s="342" t="s">
        <v>815</v>
      </c>
      <c r="E10" s="342">
        <v>875</v>
      </c>
      <c r="F10" s="342" t="s">
        <v>816</v>
      </c>
    </row>
    <row r="11" ht="14.25" customHeight="1">
      <c r="A11" s="342" t="s">
        <v>817</v>
      </c>
      <c r="B11" s="342" t="s">
        <v>814</v>
      </c>
      <c r="C11" s="342" t="s">
        <v>818</v>
      </c>
      <c r="D11" s="342" t="s">
        <v>819</v>
      </c>
      <c r="E11" s="342">
        <v>5</v>
      </c>
      <c r="F11" s="342" t="s">
        <v>820</v>
      </c>
    </row>
    <row r="12" ht="14.25" customHeight="1">
      <c r="A12" s="342" t="s">
        <v>821</v>
      </c>
      <c r="B12" s="342" t="s">
        <v>799</v>
      </c>
      <c r="C12" s="342" t="s">
        <v>800</v>
      </c>
      <c r="D12" s="342" t="s">
        <v>822</v>
      </c>
      <c r="E12" s="342" t="s">
        <v>823</v>
      </c>
      <c r="F12" s="342" t="s">
        <v>824</v>
      </c>
    </row>
    <row r="13" ht="14.25" customHeight="1">
      <c r="A13" s="342" t="s">
        <v>825</v>
      </c>
      <c r="B13" s="342" t="s">
        <v>826</v>
      </c>
      <c r="C13" s="342" t="s">
        <v>827</v>
      </c>
      <c r="D13" s="342" t="s">
        <v>828</v>
      </c>
      <c r="E13" s="342" t="s">
        <v>829</v>
      </c>
      <c r="F13" s="342" t="s">
        <v>830</v>
      </c>
    </row>
    <row r="14" ht="14.25" customHeight="1">
      <c r="A14" s="342" t="s">
        <v>831</v>
      </c>
      <c r="B14" s="342" t="s">
        <v>826</v>
      </c>
      <c r="C14" s="342" t="s">
        <v>827</v>
      </c>
      <c r="D14" s="342" t="s">
        <v>832</v>
      </c>
      <c r="E14" s="342" t="s">
        <v>833</v>
      </c>
      <c r="F14" s="342" t="s">
        <v>834</v>
      </c>
    </row>
    <row r="15" ht="14.25" customHeight="1">
      <c r="A15" s="342" t="s">
        <v>835</v>
      </c>
      <c r="B15" s="342" t="s">
        <v>836</v>
      </c>
      <c r="C15" s="342" t="s">
        <v>827</v>
      </c>
      <c r="D15" s="342" t="s">
        <v>837</v>
      </c>
      <c r="E15" s="342">
        <v>2350</v>
      </c>
      <c r="F15" s="342" t="s">
        <v>838</v>
      </c>
    </row>
    <row r="16" ht="14.25" customHeight="1">
      <c r="A16" s="342" t="s">
        <v>839</v>
      </c>
      <c r="B16" s="342" t="s">
        <v>836</v>
      </c>
      <c r="C16" s="342" t="s">
        <v>800</v>
      </c>
      <c r="D16" s="342" t="s">
        <v>840</v>
      </c>
      <c r="E16" s="342">
        <v>2495</v>
      </c>
      <c r="F16" s="342" t="s">
        <v>841</v>
      </c>
    </row>
    <row r="17" ht="14.25" customHeight="1">
      <c r="A17" s="342" t="s">
        <v>842</v>
      </c>
      <c r="B17" s="342" t="s">
        <v>836</v>
      </c>
      <c r="C17" s="342" t="s">
        <v>818</v>
      </c>
      <c r="D17" s="342" t="s">
        <v>819</v>
      </c>
      <c r="E17" s="342">
        <v>100</v>
      </c>
      <c r="F17" s="342" t="s">
        <v>843</v>
      </c>
    </row>
    <row r="18" ht="14.25" customHeight="1">
      <c r="A18" s="342" t="s">
        <v>844</v>
      </c>
      <c r="B18" s="342" t="s">
        <v>836</v>
      </c>
      <c r="C18" s="342" t="s">
        <v>845</v>
      </c>
      <c r="D18" s="342" t="s">
        <v>846</v>
      </c>
      <c r="E18" s="342">
        <v>2266.67</v>
      </c>
      <c r="F18" s="342" t="s">
        <v>847</v>
      </c>
    </row>
    <row r="19" ht="14.25" customHeight="1">
      <c r="A19" s="342" t="s">
        <v>848</v>
      </c>
      <c r="B19" s="342" t="s">
        <v>799</v>
      </c>
      <c r="C19" s="342" t="s">
        <v>827</v>
      </c>
      <c r="D19" s="342" t="s">
        <v>849</v>
      </c>
      <c r="E19" s="342" t="s">
        <v>850</v>
      </c>
      <c r="F19" s="342" t="s">
        <v>851</v>
      </c>
    </row>
    <row r="20" ht="14.25" customHeight="1">
      <c r="A20" s="342" t="s">
        <v>852</v>
      </c>
      <c r="B20" s="342" t="s">
        <v>826</v>
      </c>
      <c r="C20" s="342" t="s">
        <v>827</v>
      </c>
      <c r="D20" s="342" t="s">
        <v>853</v>
      </c>
      <c r="E20" s="342" t="s">
        <v>854</v>
      </c>
      <c r="F20" s="342" t="s">
        <v>855</v>
      </c>
    </row>
    <row r="21" ht="14.25" customHeight="1">
      <c r="A21" s="342" t="s">
        <v>856</v>
      </c>
      <c r="B21" s="342" t="s">
        <v>857</v>
      </c>
      <c r="C21" s="342" t="s">
        <v>800</v>
      </c>
      <c r="D21" s="342" t="s">
        <v>858</v>
      </c>
      <c r="E21" s="342" t="s">
        <v>859</v>
      </c>
      <c r="F21" s="342" t="s">
        <v>860</v>
      </c>
    </row>
    <row r="23" ht="15.75" customHeight="1">
      <c r="A23" s="209" t="s">
        <v>861</v>
      </c>
      <c r="B23" s="209"/>
      <c r="C23" s="209"/>
      <c r="D23" s="209"/>
      <c r="E23" s="209"/>
      <c r="F23" s="209"/>
    </row>
    <row r="24" ht="14.25" customHeight="1">
      <c r="A24" s="341" t="s">
        <v>793</v>
      </c>
      <c r="B24" s="341" t="s">
        <v>794</v>
      </c>
      <c r="C24" s="341" t="s">
        <v>795</v>
      </c>
      <c r="D24" s="341" t="s">
        <v>796</v>
      </c>
      <c r="E24" s="341" t="s">
        <v>797</v>
      </c>
      <c r="F24" s="341" t="s">
        <v>118</v>
      </c>
    </row>
    <row r="25" ht="14.25" customHeight="1">
      <c r="A25" s="342" t="s">
        <v>798</v>
      </c>
      <c r="B25" s="342" t="s">
        <v>799</v>
      </c>
      <c r="C25" s="342" t="s">
        <v>800</v>
      </c>
      <c r="D25" s="342" t="s">
        <v>862</v>
      </c>
      <c r="E25" s="342" t="s">
        <v>802</v>
      </c>
      <c r="F25" s="342" t="s">
        <v>863</v>
      </c>
    </row>
    <row r="26" ht="14.25" customHeight="1">
      <c r="A26" s="342" t="s">
        <v>864</v>
      </c>
      <c r="B26" s="342" t="s">
        <v>826</v>
      </c>
      <c r="C26" s="342" t="s">
        <v>800</v>
      </c>
      <c r="D26" s="342" t="s">
        <v>865</v>
      </c>
      <c r="E26" s="342" t="s">
        <v>632</v>
      </c>
      <c r="F26" s="342" t="s">
        <v>866</v>
      </c>
    </row>
    <row r="27" ht="14.25" customHeight="1">
      <c r="A27" s="342" t="s">
        <v>867</v>
      </c>
      <c r="B27" s="342" t="s">
        <v>814</v>
      </c>
      <c r="C27" s="342" t="s">
        <v>800</v>
      </c>
      <c r="D27" s="342" t="s">
        <v>819</v>
      </c>
      <c r="E27" s="342">
        <v>12</v>
      </c>
      <c r="F27" s="342" t="s">
        <v>868</v>
      </c>
    </row>
    <row r="28" ht="14.25" customHeight="1">
      <c r="A28" s="342" t="s">
        <v>869</v>
      </c>
      <c r="B28" s="342" t="s">
        <v>814</v>
      </c>
      <c r="C28" s="342" t="s">
        <v>800</v>
      </c>
      <c r="D28" s="342" t="s">
        <v>870</v>
      </c>
      <c r="E28" s="342">
        <v>10</v>
      </c>
      <c r="F28" s="342" t="s">
        <v>871</v>
      </c>
    </row>
    <row r="29" ht="14.25" customHeight="1">
      <c r="A29" s="342" t="s">
        <v>872</v>
      </c>
      <c r="B29" s="342" t="s">
        <v>814</v>
      </c>
      <c r="C29" s="342" t="s">
        <v>800</v>
      </c>
      <c r="D29" s="342" t="s">
        <v>819</v>
      </c>
      <c r="E29" s="342">
        <v>8</v>
      </c>
      <c r="F29" s="342" t="s">
        <v>873</v>
      </c>
    </row>
    <row r="30" ht="14.25" customHeight="1">
      <c r="A30" s="342" t="s">
        <v>654</v>
      </c>
      <c r="B30" s="342" t="s">
        <v>814</v>
      </c>
      <c r="C30" s="342" t="s">
        <v>800</v>
      </c>
      <c r="D30" s="342" t="s">
        <v>819</v>
      </c>
      <c r="E30" s="342">
        <v>6</v>
      </c>
      <c r="F30" s="342" t="s">
        <v>874</v>
      </c>
    </row>
    <row r="31" ht="14.25" customHeight="1">
      <c r="A31" s="342" t="s">
        <v>875</v>
      </c>
      <c r="B31" s="342" t="s">
        <v>814</v>
      </c>
      <c r="C31" s="342" t="s">
        <v>800</v>
      </c>
      <c r="D31" s="342" t="s">
        <v>819</v>
      </c>
      <c r="E31" s="342">
        <v>3</v>
      </c>
      <c r="F31" s="342" t="s">
        <v>876</v>
      </c>
    </row>
    <row r="32" ht="14.25" customHeight="1">
      <c r="A32" s="342" t="s">
        <v>877</v>
      </c>
      <c r="B32" s="342" t="s">
        <v>814</v>
      </c>
      <c r="C32" s="342" t="s">
        <v>800</v>
      </c>
      <c r="D32" s="342" t="s">
        <v>819</v>
      </c>
      <c r="E32" s="342">
        <v>2</v>
      </c>
      <c r="F32" s="342" t="s">
        <v>878</v>
      </c>
    </row>
    <row r="33" ht="14.25" customHeight="1">
      <c r="A33" s="342" t="s">
        <v>879</v>
      </c>
      <c r="B33" s="342" t="s">
        <v>814</v>
      </c>
      <c r="C33" s="342" t="s">
        <v>800</v>
      </c>
      <c r="D33" s="342" t="s">
        <v>819</v>
      </c>
      <c r="E33" s="342">
        <v>1</v>
      </c>
      <c r="F33" s="342" t="s">
        <v>880</v>
      </c>
    </row>
    <row r="34" ht="14.25" customHeight="1">
      <c r="A34" s="342" t="s">
        <v>881</v>
      </c>
      <c r="B34" s="342" t="s">
        <v>814</v>
      </c>
      <c r="C34" s="342" t="s">
        <v>800</v>
      </c>
      <c r="D34" s="342" t="s">
        <v>819</v>
      </c>
      <c r="E34" s="342">
        <v>25</v>
      </c>
      <c r="F34" s="342" t="s">
        <v>882</v>
      </c>
    </row>
    <row r="35" ht="14.25" customHeight="1">
      <c r="A35" s="342" t="s">
        <v>883</v>
      </c>
      <c r="B35" s="342" t="s">
        <v>814</v>
      </c>
      <c r="C35" s="342" t="s">
        <v>800</v>
      </c>
      <c r="D35" s="342" t="s">
        <v>819</v>
      </c>
      <c r="E35" s="342">
        <v>23</v>
      </c>
      <c r="F35" s="342" t="s">
        <v>884</v>
      </c>
    </row>
    <row r="36" ht="14.25" customHeight="1">
      <c r="A36" s="342" t="s">
        <v>856</v>
      </c>
      <c r="B36" s="342" t="s">
        <v>857</v>
      </c>
      <c r="C36" s="342" t="s">
        <v>800</v>
      </c>
      <c r="D36" s="342" t="s">
        <v>858</v>
      </c>
      <c r="E36" s="342" t="s">
        <v>885</v>
      </c>
      <c r="F36" s="342" t="s">
        <v>860</v>
      </c>
    </row>
    <row r="38" ht="15.75" customHeight="1">
      <c r="A38" s="209" t="s">
        <v>886</v>
      </c>
      <c r="B38" s="209"/>
      <c r="C38" s="209"/>
      <c r="D38" s="209"/>
      <c r="E38" s="209"/>
      <c r="F38" s="209"/>
    </row>
    <row r="39" ht="14.25" customHeight="1">
      <c r="A39" s="341" t="s">
        <v>793</v>
      </c>
      <c r="B39" s="341" t="s">
        <v>794</v>
      </c>
      <c r="C39" s="341" t="s">
        <v>795</v>
      </c>
      <c r="D39" s="341" t="s">
        <v>796</v>
      </c>
      <c r="E39" s="341" t="s">
        <v>797</v>
      </c>
      <c r="F39" s="341" t="s">
        <v>118</v>
      </c>
    </row>
    <row r="40" ht="14.25" customHeight="1">
      <c r="A40" s="342" t="s">
        <v>798</v>
      </c>
      <c r="B40" s="342" t="s">
        <v>799</v>
      </c>
      <c r="C40" s="342" t="s">
        <v>800</v>
      </c>
      <c r="D40" s="342" t="s">
        <v>862</v>
      </c>
      <c r="E40" s="342" t="s">
        <v>802</v>
      </c>
      <c r="F40" s="342" t="s">
        <v>863</v>
      </c>
    </row>
    <row r="41" ht="14.25" customHeight="1">
      <c r="A41" s="342" t="s">
        <v>864</v>
      </c>
      <c r="B41" s="342" t="s">
        <v>826</v>
      </c>
      <c r="C41" s="342" t="s">
        <v>800</v>
      </c>
      <c r="D41" s="342" t="s">
        <v>865</v>
      </c>
      <c r="E41" s="342" t="s">
        <v>632</v>
      </c>
      <c r="F41" s="342" t="s">
        <v>887</v>
      </c>
    </row>
    <row r="42" ht="14.25" customHeight="1">
      <c r="A42" s="342" t="s">
        <v>888</v>
      </c>
      <c r="B42" s="342" t="s">
        <v>799</v>
      </c>
      <c r="C42" s="342" t="s">
        <v>800</v>
      </c>
      <c r="D42" s="342" t="s">
        <v>889</v>
      </c>
      <c r="E42" s="342" t="s">
        <v>69</v>
      </c>
      <c r="F42" s="342" t="s">
        <v>890</v>
      </c>
    </row>
    <row r="43" ht="14.25" customHeight="1">
      <c r="A43" s="342" t="s">
        <v>891</v>
      </c>
      <c r="B43" s="342" t="s">
        <v>799</v>
      </c>
      <c r="C43" s="342" t="s">
        <v>818</v>
      </c>
      <c r="D43" s="342" t="s">
        <v>892</v>
      </c>
      <c r="E43" s="342" t="s">
        <v>893</v>
      </c>
      <c r="F43" s="342" t="s">
        <v>894</v>
      </c>
    </row>
    <row r="44" ht="14.25" customHeight="1">
      <c r="A44" s="342" t="s">
        <v>895</v>
      </c>
      <c r="B44" s="342" t="s">
        <v>814</v>
      </c>
      <c r="C44" s="342" t="s">
        <v>818</v>
      </c>
      <c r="D44" s="342" t="s">
        <v>819</v>
      </c>
      <c r="E44" s="342">
        <v>15000</v>
      </c>
      <c r="F44" s="342" t="s">
        <v>896</v>
      </c>
    </row>
    <row r="45" ht="14.25" customHeight="1">
      <c r="A45" s="342" t="s">
        <v>897</v>
      </c>
      <c r="B45" s="342" t="s">
        <v>814</v>
      </c>
      <c r="C45" s="342" t="s">
        <v>818</v>
      </c>
      <c r="D45" s="342" t="s">
        <v>819</v>
      </c>
      <c r="E45" s="342">
        <v>450</v>
      </c>
      <c r="F45" s="342" t="s">
        <v>898</v>
      </c>
    </row>
    <row r="46" ht="14.25" customHeight="1">
      <c r="A46" s="342" t="s">
        <v>899</v>
      </c>
      <c r="B46" s="342" t="s">
        <v>814</v>
      </c>
      <c r="C46" s="342" t="s">
        <v>800</v>
      </c>
      <c r="D46" s="342" t="s">
        <v>819</v>
      </c>
      <c r="E46" s="342">
        <v>25</v>
      </c>
      <c r="F46" s="342" t="s">
        <v>900</v>
      </c>
    </row>
    <row r="47" ht="14.25" customHeight="1">
      <c r="A47" s="342" t="s">
        <v>901</v>
      </c>
      <c r="B47" s="342" t="s">
        <v>814</v>
      </c>
      <c r="C47" s="342" t="s">
        <v>818</v>
      </c>
      <c r="D47" s="342" t="s">
        <v>819</v>
      </c>
      <c r="E47" s="342">
        <v>12</v>
      </c>
      <c r="F47" s="342" t="s">
        <v>902</v>
      </c>
    </row>
    <row r="48" ht="14.25" customHeight="1">
      <c r="A48" s="342" t="s">
        <v>903</v>
      </c>
      <c r="B48" s="342" t="s">
        <v>814</v>
      </c>
      <c r="C48" s="342" t="s">
        <v>818</v>
      </c>
      <c r="D48" s="342" t="s">
        <v>819</v>
      </c>
      <c r="E48" s="342">
        <v>3</v>
      </c>
      <c r="F48" s="342" t="s">
        <v>904</v>
      </c>
    </row>
    <row r="49" ht="14.25" customHeight="1">
      <c r="A49" s="342" t="s">
        <v>905</v>
      </c>
      <c r="B49" s="342" t="s">
        <v>836</v>
      </c>
      <c r="C49" s="342" t="s">
        <v>800</v>
      </c>
      <c r="D49" s="342" t="s">
        <v>819</v>
      </c>
      <c r="E49" s="342">
        <v>1500</v>
      </c>
      <c r="F49" s="342" t="s">
        <v>906</v>
      </c>
    </row>
    <row r="50" ht="14.25" customHeight="1">
      <c r="A50" s="342" t="s">
        <v>856</v>
      </c>
      <c r="B50" s="342" t="s">
        <v>857</v>
      </c>
      <c r="C50" s="342" t="s">
        <v>800</v>
      </c>
      <c r="D50" s="342" t="s">
        <v>858</v>
      </c>
      <c r="E50" s="342" t="s">
        <v>907</v>
      </c>
      <c r="F50" s="342" t="s">
        <v>860</v>
      </c>
    </row>
    <row r="52" ht="15.75" customHeight="1">
      <c r="A52" s="209" t="s">
        <v>908</v>
      </c>
      <c r="B52" s="209"/>
      <c r="C52" s="209"/>
      <c r="D52" s="209"/>
      <c r="E52" s="209"/>
      <c r="F52" s="209"/>
    </row>
    <row r="53" ht="14.25" customHeight="1">
      <c r="A53" s="341" t="s">
        <v>793</v>
      </c>
      <c r="B53" s="341" t="s">
        <v>794</v>
      </c>
      <c r="C53" s="341" t="s">
        <v>795</v>
      </c>
      <c r="D53" s="341" t="s">
        <v>796</v>
      </c>
      <c r="E53" s="341" t="s">
        <v>797</v>
      </c>
      <c r="F53" s="341" t="s">
        <v>118</v>
      </c>
    </row>
    <row r="54" ht="14.25" customHeight="1">
      <c r="A54" s="342" t="s">
        <v>798</v>
      </c>
      <c r="B54" s="342" t="s">
        <v>799</v>
      </c>
      <c r="C54" s="342" t="s">
        <v>800</v>
      </c>
      <c r="D54" s="342" t="s">
        <v>862</v>
      </c>
      <c r="E54" s="342" t="s">
        <v>802</v>
      </c>
      <c r="F54" s="342" t="s">
        <v>863</v>
      </c>
    </row>
    <row r="55" ht="14.25" customHeight="1">
      <c r="A55" s="342" t="s">
        <v>864</v>
      </c>
      <c r="B55" s="342" t="s">
        <v>826</v>
      </c>
      <c r="C55" s="342" t="s">
        <v>800</v>
      </c>
      <c r="D55" s="342" t="s">
        <v>865</v>
      </c>
      <c r="E55" s="342" t="s">
        <v>632</v>
      </c>
      <c r="F55" s="342" t="s">
        <v>909</v>
      </c>
    </row>
    <row r="56" ht="14.25" customHeight="1">
      <c r="A56" s="342" t="s">
        <v>910</v>
      </c>
      <c r="B56" s="342" t="s">
        <v>799</v>
      </c>
      <c r="C56" s="342" t="s">
        <v>800</v>
      </c>
      <c r="D56" s="342" t="s">
        <v>911</v>
      </c>
      <c r="E56" s="342" t="s">
        <v>912</v>
      </c>
      <c r="F56" s="342" t="s">
        <v>913</v>
      </c>
    </row>
    <row r="57" ht="14.25" customHeight="1">
      <c r="A57" s="342" t="s">
        <v>644</v>
      </c>
      <c r="B57" s="342" t="s">
        <v>799</v>
      </c>
      <c r="C57" s="342" t="s">
        <v>818</v>
      </c>
      <c r="D57" s="342" t="s">
        <v>914</v>
      </c>
      <c r="E57" s="342">
        <v>101</v>
      </c>
      <c r="F57" s="342" t="s">
        <v>915</v>
      </c>
    </row>
    <row r="58" ht="14.25" customHeight="1">
      <c r="A58" s="342" t="s">
        <v>916</v>
      </c>
      <c r="B58" s="342" t="s">
        <v>799</v>
      </c>
      <c r="C58" s="342" t="s">
        <v>800</v>
      </c>
      <c r="D58" s="342" t="s">
        <v>917</v>
      </c>
      <c r="E58" s="342" t="s">
        <v>918</v>
      </c>
      <c r="F58" s="342" t="s">
        <v>919</v>
      </c>
    </row>
    <row r="59" ht="14.25" customHeight="1">
      <c r="A59" s="342" t="s">
        <v>634</v>
      </c>
      <c r="B59" s="342" t="s">
        <v>799</v>
      </c>
      <c r="C59" s="342" t="s">
        <v>800</v>
      </c>
      <c r="D59" s="342" t="s">
        <v>920</v>
      </c>
      <c r="E59" s="342" t="s">
        <v>921</v>
      </c>
      <c r="F59" s="342" t="s">
        <v>922</v>
      </c>
    </row>
    <row r="60" ht="14.25" customHeight="1">
      <c r="A60" s="342" t="s">
        <v>821</v>
      </c>
      <c r="B60" s="342" t="s">
        <v>799</v>
      </c>
      <c r="C60" s="342" t="s">
        <v>800</v>
      </c>
      <c r="D60" s="342" t="s">
        <v>923</v>
      </c>
      <c r="E60" s="342" t="s">
        <v>502</v>
      </c>
      <c r="F60" s="342" t="s">
        <v>924</v>
      </c>
    </row>
    <row r="61" ht="14.25" customHeight="1">
      <c r="A61" s="342" t="s">
        <v>925</v>
      </c>
      <c r="B61" s="342" t="s">
        <v>826</v>
      </c>
      <c r="C61" s="342" t="s">
        <v>800</v>
      </c>
      <c r="D61" s="342" t="s">
        <v>865</v>
      </c>
      <c r="E61" s="342" t="s">
        <v>642</v>
      </c>
      <c r="F61" s="342" t="s">
        <v>926</v>
      </c>
    </row>
    <row r="62" ht="14.25" customHeight="1">
      <c r="A62" s="342" t="s">
        <v>927</v>
      </c>
      <c r="B62" s="342" t="s">
        <v>826</v>
      </c>
      <c r="C62" s="342" t="s">
        <v>827</v>
      </c>
      <c r="D62" s="342" t="s">
        <v>928</v>
      </c>
      <c r="E62" s="342" t="s">
        <v>632</v>
      </c>
      <c r="F62" s="342" t="s">
        <v>929</v>
      </c>
    </row>
    <row r="63" ht="14.25" customHeight="1">
      <c r="A63" s="342" t="s">
        <v>930</v>
      </c>
      <c r="B63" s="342" t="s">
        <v>836</v>
      </c>
      <c r="C63" s="342" t="s">
        <v>827</v>
      </c>
      <c r="D63" s="342" t="s">
        <v>931</v>
      </c>
      <c r="E63" s="342">
        <v>4.5</v>
      </c>
      <c r="F63" s="342" t="s">
        <v>932</v>
      </c>
    </row>
    <row r="64" ht="14.25" customHeight="1">
      <c r="A64" s="342" t="s">
        <v>933</v>
      </c>
      <c r="B64" s="342" t="s">
        <v>836</v>
      </c>
      <c r="C64" s="342" t="s">
        <v>818</v>
      </c>
      <c r="D64" s="342" t="s">
        <v>819</v>
      </c>
      <c r="E64" s="342">
        <v>125</v>
      </c>
      <c r="F64" s="342" t="s">
        <v>934</v>
      </c>
    </row>
    <row r="65" ht="14.25" customHeight="1">
      <c r="A65" s="342" t="s">
        <v>856</v>
      </c>
      <c r="B65" s="342" t="s">
        <v>857</v>
      </c>
      <c r="C65" s="342" t="s">
        <v>800</v>
      </c>
      <c r="D65" s="342" t="s">
        <v>858</v>
      </c>
      <c r="E65" s="342" t="s">
        <v>885</v>
      </c>
      <c r="F65" s="342" t="s">
        <v>860</v>
      </c>
    </row>
    <row r="67" ht="15.75" customHeight="1">
      <c r="A67" s="209" t="s">
        <v>935</v>
      </c>
      <c r="B67" s="209"/>
      <c r="C67" s="209"/>
      <c r="D67" s="209"/>
      <c r="E67" s="209"/>
      <c r="F67" s="209"/>
    </row>
    <row r="68" ht="14.25" customHeight="1">
      <c r="A68" s="341" t="s">
        <v>793</v>
      </c>
      <c r="B68" s="341" t="s">
        <v>794</v>
      </c>
      <c r="C68" s="341" t="s">
        <v>795</v>
      </c>
      <c r="D68" s="341" t="s">
        <v>796</v>
      </c>
      <c r="E68" s="341" t="s">
        <v>797</v>
      </c>
      <c r="F68" s="341" t="s">
        <v>118</v>
      </c>
    </row>
    <row r="69" ht="14.25" customHeight="1">
      <c r="A69" s="342" t="s">
        <v>798</v>
      </c>
      <c r="B69" s="342" t="s">
        <v>799</v>
      </c>
      <c r="C69" s="342" t="s">
        <v>800</v>
      </c>
      <c r="D69" s="342" t="s">
        <v>862</v>
      </c>
      <c r="E69" s="342" t="s">
        <v>802</v>
      </c>
      <c r="F69" s="342" t="s">
        <v>863</v>
      </c>
    </row>
    <row r="70" ht="14.25" customHeight="1">
      <c r="A70" s="342" t="s">
        <v>936</v>
      </c>
      <c r="B70" s="342" t="s">
        <v>799</v>
      </c>
      <c r="C70" s="342" t="s">
        <v>800</v>
      </c>
      <c r="D70" s="342" t="s">
        <v>937</v>
      </c>
      <c r="E70" s="342" t="s">
        <v>938</v>
      </c>
      <c r="F70" s="342" t="s">
        <v>939</v>
      </c>
    </row>
    <row r="71" ht="14.25" customHeight="1">
      <c r="A71" s="342" t="s">
        <v>940</v>
      </c>
      <c r="B71" s="342" t="s">
        <v>799</v>
      </c>
      <c r="C71" s="342" t="s">
        <v>800</v>
      </c>
      <c r="D71" s="342" t="s">
        <v>941</v>
      </c>
      <c r="E71" s="342" t="s">
        <v>942</v>
      </c>
      <c r="F71" s="342" t="s">
        <v>943</v>
      </c>
    </row>
    <row r="72" ht="14.25" customHeight="1">
      <c r="A72" s="342" t="s">
        <v>944</v>
      </c>
      <c r="B72" s="342" t="s">
        <v>799</v>
      </c>
      <c r="C72" s="342" t="s">
        <v>800</v>
      </c>
      <c r="D72" s="342" t="s">
        <v>805</v>
      </c>
      <c r="E72" s="342" t="s">
        <v>945</v>
      </c>
      <c r="F72" s="342" t="s">
        <v>946</v>
      </c>
    </row>
    <row r="73" ht="14.25" customHeight="1">
      <c r="A73" s="342" t="s">
        <v>916</v>
      </c>
      <c r="B73" s="342" t="s">
        <v>799</v>
      </c>
      <c r="C73" s="342" t="s">
        <v>800</v>
      </c>
      <c r="D73" s="342" t="s">
        <v>947</v>
      </c>
      <c r="E73" s="342" t="s">
        <v>67</v>
      </c>
      <c r="F73" s="342" t="s">
        <v>948</v>
      </c>
    </row>
    <row r="74" ht="14.25" customHeight="1">
      <c r="A74" s="342" t="s">
        <v>949</v>
      </c>
      <c r="B74" s="342" t="s">
        <v>836</v>
      </c>
      <c r="C74" s="342" t="s">
        <v>800</v>
      </c>
      <c r="D74" s="342" t="s">
        <v>950</v>
      </c>
      <c r="E74" s="342">
        <v>125000</v>
      </c>
      <c r="F74" s="342" t="s">
        <v>951</v>
      </c>
    </row>
    <row r="75" ht="14.25" customHeight="1">
      <c r="A75" s="342" t="s">
        <v>952</v>
      </c>
      <c r="B75" s="342" t="s">
        <v>836</v>
      </c>
      <c r="C75" s="342" t="s">
        <v>800</v>
      </c>
      <c r="D75" s="342" t="s">
        <v>950</v>
      </c>
      <c r="E75" s="342">
        <v>130000</v>
      </c>
      <c r="F75" s="342" t="s">
        <v>953</v>
      </c>
    </row>
    <row r="76" ht="14.25" customHeight="1">
      <c r="A76" s="342" t="s">
        <v>954</v>
      </c>
      <c r="B76" s="342" t="s">
        <v>836</v>
      </c>
      <c r="C76" s="342" t="s">
        <v>845</v>
      </c>
      <c r="D76" s="342" t="s">
        <v>955</v>
      </c>
      <c r="E76" s="342">
        <v>-5000</v>
      </c>
      <c r="F76" s="342" t="s">
        <v>956</v>
      </c>
    </row>
    <row r="77" ht="14.25" customHeight="1">
      <c r="A77" s="342" t="s">
        <v>957</v>
      </c>
      <c r="B77" s="342" t="s">
        <v>836</v>
      </c>
      <c r="C77" s="342" t="s">
        <v>845</v>
      </c>
      <c r="D77" s="342" t="s">
        <v>958</v>
      </c>
      <c r="E77" s="342">
        <v>-0.0385</v>
      </c>
      <c r="F77" s="342" t="s">
        <v>84</v>
      </c>
    </row>
    <row r="78" ht="14.25" customHeight="1">
      <c r="A78" s="342" t="s">
        <v>959</v>
      </c>
      <c r="B78" s="342" t="s">
        <v>836</v>
      </c>
      <c r="C78" s="342" t="s">
        <v>818</v>
      </c>
      <c r="D78" s="342" t="s">
        <v>950</v>
      </c>
      <c r="E78" s="342">
        <v>125000</v>
      </c>
      <c r="F78" s="342" t="s">
        <v>960</v>
      </c>
    </row>
    <row r="79" ht="14.25" customHeight="1">
      <c r="A79" s="342" t="s">
        <v>961</v>
      </c>
      <c r="B79" s="342" t="s">
        <v>836</v>
      </c>
      <c r="C79" s="342" t="s">
        <v>818</v>
      </c>
      <c r="D79" s="342" t="s">
        <v>950</v>
      </c>
      <c r="E79" s="342">
        <v>130000</v>
      </c>
      <c r="F79" s="342" t="s">
        <v>962</v>
      </c>
    </row>
    <row r="80" ht="14.25" customHeight="1">
      <c r="A80" s="342" t="s">
        <v>856</v>
      </c>
      <c r="B80" s="342" t="s">
        <v>857</v>
      </c>
      <c r="C80" s="342" t="s">
        <v>800</v>
      </c>
      <c r="D80" s="342" t="s">
        <v>858</v>
      </c>
      <c r="E80" s="342" t="s">
        <v>963</v>
      </c>
      <c r="F80" s="342" t="s">
        <v>860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66078F8-38A8-2592-CE78-CEB1056A2198}" mc:Ignorable="x14ac xr xr2 xr3">
  <dimension ref="A1:GR50000"/>
  <sheetViews>
    <sheetView showGridLines="0" topLeftCell="B41" workbookViewId="0">
      <selection activeCell="A1" sqref="A1"/>
    </sheetView>
  </sheetViews>
  <sheetFormatPr defaultRowHeight="15" defaultColWidth="7.75390625" customHeight="1"/>
  <cols>
    <col min="1" max="1" width="17.50390625" customWidth="1"/>
    <col min="2" max="3" width="22.50390625" customWidth="1"/>
    <col min="4" max="4" width="13.75390625" customWidth="1"/>
    <col min="5" max="5" width="8.75390625" customWidth="1"/>
    <col min="6" max="6" width="10.00390625" customWidth="1"/>
    <col min="7" max="8" width="12.50390625" customWidth="1"/>
    <col min="9" max="9" width="25.00390625" customWidth="1"/>
    <col min="10" max="10" width="16.25390625" customWidth="1"/>
    <col min="11" max="11" width="7.50390625" customWidth="1"/>
  </cols>
  <sheetData>
    <row r="1" ht="19.5" customHeight="1">
      <c r="A1" s="340" t="s">
        <v>964</v>
      </c>
      <c r="B1" s="340"/>
      <c r="C1" s="340"/>
      <c r="D1" s="340"/>
      <c r="E1" s="340"/>
      <c r="F1" s="340"/>
      <c r="G1" s="340"/>
      <c r="H1" s="340"/>
      <c r="I1" s="340"/>
      <c r="J1" s="340"/>
    </row>
    <row r="2" ht="14.25" customHeight="1">
      <c r="A2" s="203" t="s">
        <v>965</v>
      </c>
      <c r="B2" s="203"/>
      <c r="C2" s="203"/>
      <c r="D2" s="203"/>
      <c r="E2" s="203"/>
      <c r="F2" s="203"/>
      <c r="G2" s="203"/>
      <c r="H2" s="203"/>
      <c r="I2" s="203"/>
      <c r="J2" s="203"/>
    </row>
    <row r="4" ht="15.75" customHeight="1">
      <c r="A4" s="209" t="s">
        <v>966</v>
      </c>
      <c r="B4" s="209"/>
      <c r="C4" s="209"/>
      <c r="D4" s="209"/>
      <c r="E4" s="209"/>
      <c r="F4" s="209"/>
      <c r="G4" s="209"/>
      <c r="H4" s="209"/>
      <c r="I4" s="209"/>
      <c r="J4" s="209"/>
    </row>
    <row r="5" ht="13.5" customHeight="1">
      <c r="A5" s="210" t="s">
        <v>967</v>
      </c>
      <c r="B5" s="210" t="s">
        <v>968</v>
      </c>
      <c r="C5" s="210" t="s">
        <v>969</v>
      </c>
      <c r="D5" s="210" t="s">
        <v>970</v>
      </c>
      <c r="E5" s="210" t="s">
        <v>674</v>
      </c>
      <c r="F5" s="210" t="s">
        <v>412</v>
      </c>
      <c r="G5" s="210" t="s">
        <v>971</v>
      </c>
      <c r="H5" s="210" t="s">
        <v>972</v>
      </c>
      <c r="I5" s="210" t="s">
        <v>973</v>
      </c>
      <c r="J5" s="210" t="s">
        <v>974</v>
      </c>
      <c r="K5" s="210" t="s">
        <v>975</v>
      </c>
    </row>
    <row r="6" ht="13.5" customHeight="1">
      <c r="A6" s="211" t="s">
        <v>153</v>
      </c>
      <c r="B6" s="211" t="s">
        <v>976</v>
      </c>
      <c r="C6" s="211" t="s">
        <v>977</v>
      </c>
      <c r="D6" s="211" t="s">
        <v>615</v>
      </c>
      <c r="E6" s="211" t="s">
        <v>678</v>
      </c>
      <c r="F6" s="211" t="s">
        <v>679</v>
      </c>
      <c r="G6" s="211" t="s">
        <v>978</v>
      </c>
      <c r="H6" s="211" t="s">
        <v>979</v>
      </c>
      <c r="I6" s="211" t="e">
        <f>SUM(Revenue)-SUM(OpEx)</f>
        <v>#NAME?</v>
      </c>
      <c r="J6" s="211" t="s">
        <v>980</v>
      </c>
      <c r="K6" s="211" t="s">
        <v>981</v>
      </c>
    </row>
    <row r="7" ht="13.5" customHeight="1">
      <c r="A7" s="211" t="s">
        <v>982</v>
      </c>
      <c r="B7" s="211" t="s">
        <v>983</v>
      </c>
      <c r="C7" s="211" t="s">
        <v>984</v>
      </c>
      <c r="D7" s="211" t="s">
        <v>615</v>
      </c>
      <c r="E7" s="211" t="s">
        <v>678</v>
      </c>
      <c r="F7" s="211" t="s">
        <v>679</v>
      </c>
      <c r="G7" s="211" t="s">
        <v>985</v>
      </c>
      <c r="H7" s="211" t="s">
        <v>986</v>
      </c>
      <c r="I7" s="211" t="e">
        <f>(CurrentNOI-PriorNOI)/PriorNOI</f>
        <v>#NAME?</v>
      </c>
      <c r="J7" s="211" t="s">
        <v>987</v>
      </c>
      <c r="K7" s="211" t="s">
        <v>988</v>
      </c>
    </row>
    <row r="8" ht="13.5" customHeight="1">
      <c r="A8" s="211" t="s">
        <v>10</v>
      </c>
      <c r="B8" s="211" t="s">
        <v>989</v>
      </c>
      <c r="C8" s="211" t="s">
        <v>990</v>
      </c>
      <c r="D8" s="211" t="s">
        <v>615</v>
      </c>
      <c r="E8" s="211" t="s">
        <v>676</v>
      </c>
      <c r="F8" s="211" t="s">
        <v>355</v>
      </c>
      <c r="G8" s="211" t="s">
        <v>991</v>
      </c>
      <c r="H8" s="211" t="s">
        <v>992</v>
      </c>
      <c r="I8" s="211" t="e">
        <f>NetIncome+Depreciation-GainOnSale</f>
        <v>#NAME?</v>
      </c>
      <c r="J8" s="211" t="s">
        <v>993</v>
      </c>
      <c r="K8" s="211" t="s">
        <v>981</v>
      </c>
    </row>
    <row r="9" ht="13.5" customHeight="1">
      <c r="A9" s="211" t="s">
        <v>34</v>
      </c>
      <c r="B9" s="211" t="s">
        <v>119</v>
      </c>
      <c r="C9" s="211" t="s">
        <v>994</v>
      </c>
      <c r="D9" s="211" t="s">
        <v>615</v>
      </c>
      <c r="E9" s="211" t="s">
        <v>678</v>
      </c>
      <c r="F9" s="211" t="s">
        <v>355</v>
      </c>
      <c r="G9" s="211" t="s">
        <v>995</v>
      </c>
      <c r="H9" s="211" t="s">
        <v>996</v>
      </c>
      <c r="I9" s="211" t="e">
        <f>NOI/AnnualDebtService</f>
        <v>#NAME?</v>
      </c>
      <c r="J9" s="211" t="s">
        <v>997</v>
      </c>
      <c r="K9" s="211" t="s">
        <v>998</v>
      </c>
    </row>
    <row r="10" ht="13.5" customHeight="1">
      <c r="A10" s="211" t="s">
        <v>999</v>
      </c>
      <c r="B10" s="211" t="s">
        <v>1000</v>
      </c>
      <c r="C10" s="211" t="s">
        <v>1001</v>
      </c>
      <c r="D10" s="211" t="s">
        <v>615</v>
      </c>
      <c r="E10" s="211" t="s">
        <v>678</v>
      </c>
      <c r="F10" s="211" t="s">
        <v>355</v>
      </c>
      <c r="G10" s="211" t="s">
        <v>1002</v>
      </c>
      <c r="H10" s="211" t="s">
        <v>1003</v>
      </c>
      <c r="I10" s="211" t="e">
        <f>TotalDebt/TotalAssets</f>
        <v>#NAME?</v>
      </c>
      <c r="J10" s="211" t="s">
        <v>1004</v>
      </c>
      <c r="K10" s="211" t="s">
        <v>988</v>
      </c>
    </row>
    <row r="11" ht="13.5" customHeight="1">
      <c r="A11" s="211" t="s">
        <v>224</v>
      </c>
      <c r="B11" s="211" t="s">
        <v>1005</v>
      </c>
      <c r="C11" s="211" t="s">
        <v>1006</v>
      </c>
      <c r="D11" s="211" t="s">
        <v>1007</v>
      </c>
      <c r="E11" s="211" t="s">
        <v>678</v>
      </c>
      <c r="F11" s="211" t="s">
        <v>684</v>
      </c>
      <c r="G11" s="211" t="s">
        <v>1008</v>
      </c>
      <c r="H11" s="211" t="s">
        <v>1009</v>
      </c>
      <c r="I11" s="211" t="e">
        <f>SUMIF(AR,"&gt;0")/TotalBilled</f>
        <v>#NAME?</v>
      </c>
      <c r="J11" s="211" t="s">
        <v>1010</v>
      </c>
      <c r="K11" s="211" t="s">
        <v>988</v>
      </c>
    </row>
    <row r="12" ht="13.5" customHeight="1">
      <c r="A12" s="211" t="s">
        <v>1011</v>
      </c>
      <c r="B12" s="211" t="s">
        <v>1012</v>
      </c>
      <c r="C12" s="211" t="s">
        <v>1012</v>
      </c>
      <c r="D12" s="211" t="s">
        <v>615</v>
      </c>
      <c r="E12" s="211" t="s">
        <v>678</v>
      </c>
      <c r="F12" s="211" t="s">
        <v>684</v>
      </c>
      <c r="G12" s="211" t="s">
        <v>1013</v>
      </c>
      <c r="H12" s="211" t="s">
        <v>1014</v>
      </c>
      <c r="I12" s="211" t="e">
        <f>WriteOffs/Revenue</f>
        <v>#NAME?</v>
      </c>
      <c r="J12" s="211" t="s">
        <v>1015</v>
      </c>
      <c r="K12" s="211" t="s">
        <v>988</v>
      </c>
    </row>
    <row r="14" ht="15.75" customHeight="1">
      <c r="A14" s="209" t="s">
        <v>1016</v>
      </c>
      <c r="B14" s="209"/>
      <c r="C14" s="209"/>
      <c r="D14" s="209"/>
      <c r="E14" s="209"/>
      <c r="F14" s="209"/>
      <c r="G14" s="209"/>
      <c r="H14" s="209"/>
      <c r="I14" s="209"/>
      <c r="J14" s="209"/>
    </row>
    <row r="15" ht="13.5" customHeight="1">
      <c r="A15" s="210" t="s">
        <v>967</v>
      </c>
      <c r="B15" s="210" t="s">
        <v>968</v>
      </c>
      <c r="C15" s="210" t="s">
        <v>969</v>
      </c>
      <c r="D15" s="210" t="s">
        <v>970</v>
      </c>
      <c r="E15" s="210" t="s">
        <v>674</v>
      </c>
      <c r="F15" s="210" t="s">
        <v>412</v>
      </c>
      <c r="G15" s="210" t="s">
        <v>971</v>
      </c>
      <c r="H15" s="210" t="s">
        <v>972</v>
      </c>
      <c r="I15" s="210" t="s">
        <v>973</v>
      </c>
      <c r="J15" s="210" t="s">
        <v>974</v>
      </c>
      <c r="K15" s="210" t="s">
        <v>975</v>
      </c>
    </row>
    <row r="16" ht="13.5" customHeight="1">
      <c r="A16" s="211" t="s">
        <v>1017</v>
      </c>
      <c r="B16" s="211" t="s">
        <v>1018</v>
      </c>
      <c r="C16" s="211" t="s">
        <v>1019</v>
      </c>
      <c r="D16" s="211" t="s">
        <v>591</v>
      </c>
      <c r="E16" s="211" t="s">
        <v>691</v>
      </c>
      <c r="F16" s="211" t="s">
        <v>692</v>
      </c>
      <c r="G16" s="211" t="s">
        <v>1020</v>
      </c>
      <c r="H16" s="211" t="s">
        <v>1021</v>
      </c>
      <c r="I16" s="211" t="s">
        <v>1022</v>
      </c>
      <c r="J16" s="211" t="s">
        <v>1023</v>
      </c>
      <c r="K16" s="211" t="s">
        <v>988</v>
      </c>
    </row>
    <row r="17" ht="13.5" customHeight="1">
      <c r="A17" s="211" t="s">
        <v>1024</v>
      </c>
      <c r="B17" s="211" t="s">
        <v>1025</v>
      </c>
      <c r="C17" s="211" t="s">
        <v>1026</v>
      </c>
      <c r="D17" s="211" t="s">
        <v>591</v>
      </c>
      <c r="E17" s="211" t="s">
        <v>678</v>
      </c>
      <c r="F17" s="211" t="s">
        <v>679</v>
      </c>
      <c r="G17" s="211" t="s">
        <v>1027</v>
      </c>
      <c r="H17" s="211" t="s">
        <v>1028</v>
      </c>
      <c r="I17" s="211" t="s">
        <v>1029</v>
      </c>
      <c r="J17" s="211" t="s">
        <v>1030</v>
      </c>
      <c r="K17" s="211" t="s">
        <v>988</v>
      </c>
    </row>
    <row r="18" ht="13.5" customHeight="1">
      <c r="A18" s="211" t="s">
        <v>1031</v>
      </c>
      <c r="B18" s="211" t="s">
        <v>1032</v>
      </c>
      <c r="C18" s="211" t="s">
        <v>1033</v>
      </c>
      <c r="D18" s="211" t="s">
        <v>591</v>
      </c>
      <c r="E18" s="211" t="s">
        <v>691</v>
      </c>
      <c r="F18" s="211" t="s">
        <v>723</v>
      </c>
      <c r="G18" s="211" t="s">
        <v>1034</v>
      </c>
      <c r="H18" s="211" t="s">
        <v>1035</v>
      </c>
      <c r="I18" s="211" t="s">
        <v>1036</v>
      </c>
      <c r="J18" s="211" t="s">
        <v>1037</v>
      </c>
      <c r="K18" s="211" t="s">
        <v>981</v>
      </c>
    </row>
    <row r="19" ht="13.5" customHeight="1">
      <c r="A19" s="211" t="s">
        <v>1038</v>
      </c>
      <c r="B19" s="211" t="s">
        <v>1039</v>
      </c>
      <c r="C19" s="211" t="s">
        <v>1040</v>
      </c>
      <c r="D19" s="211" t="s">
        <v>597</v>
      </c>
      <c r="E19" s="211" t="s">
        <v>691</v>
      </c>
      <c r="F19" s="211" t="s">
        <v>694</v>
      </c>
      <c r="G19" s="211" t="s">
        <v>1041</v>
      </c>
      <c r="H19" s="211" t="s">
        <v>1042</v>
      </c>
      <c r="I19" s="211" t="s">
        <v>1043</v>
      </c>
      <c r="J19" s="211" t="s">
        <v>1044</v>
      </c>
      <c r="K19" s="211" t="s">
        <v>988</v>
      </c>
    </row>
    <row r="20" ht="13.5" customHeight="1">
      <c r="A20" s="211" t="s">
        <v>1045</v>
      </c>
      <c r="B20" s="211" t="s">
        <v>1046</v>
      </c>
      <c r="C20" s="211" t="s">
        <v>1047</v>
      </c>
      <c r="D20" s="211" t="s">
        <v>597</v>
      </c>
      <c r="E20" s="211" t="s">
        <v>691</v>
      </c>
      <c r="F20" s="211" t="s">
        <v>694</v>
      </c>
      <c r="G20" s="211" t="s">
        <v>1048</v>
      </c>
      <c r="H20" s="211" t="s">
        <v>1049</v>
      </c>
      <c r="I20" s="211" t="s">
        <v>1050</v>
      </c>
      <c r="J20" s="211" t="s">
        <v>1051</v>
      </c>
      <c r="K20" s="211" t="s">
        <v>988</v>
      </c>
    </row>
    <row r="21" ht="13.5" customHeight="1">
      <c r="A21" s="211" t="s">
        <v>1052</v>
      </c>
      <c r="B21" s="211" t="s">
        <v>1053</v>
      </c>
      <c r="C21" s="211" t="s">
        <v>1054</v>
      </c>
      <c r="D21" s="211" t="s">
        <v>597</v>
      </c>
      <c r="E21" s="211" t="s">
        <v>691</v>
      </c>
      <c r="F21" s="211" t="s">
        <v>694</v>
      </c>
      <c r="G21" s="211" t="s">
        <v>1055</v>
      </c>
      <c r="H21" s="211" t="s">
        <v>1056</v>
      </c>
      <c r="I21" s="211" t="s">
        <v>1057</v>
      </c>
      <c r="J21" s="211" t="s">
        <v>1058</v>
      </c>
      <c r="K21" s="211" t="s">
        <v>988</v>
      </c>
    </row>
    <row r="22" ht="13.5" customHeight="1">
      <c r="A22" s="211" t="s">
        <v>31</v>
      </c>
      <c r="B22" s="211" t="s">
        <v>1059</v>
      </c>
      <c r="C22" s="211" t="s">
        <v>1060</v>
      </c>
      <c r="D22" s="211" t="s">
        <v>591</v>
      </c>
      <c r="E22" s="211" t="s">
        <v>678</v>
      </c>
      <c r="F22" s="211" t="s">
        <v>697</v>
      </c>
      <c r="G22" s="211" t="s">
        <v>1061</v>
      </c>
      <c r="H22" s="211" t="s">
        <v>1062</v>
      </c>
      <c r="I22" s="211" t="s">
        <v>1063</v>
      </c>
      <c r="J22" s="211" t="s">
        <v>1064</v>
      </c>
      <c r="K22" s="211" t="s">
        <v>988</v>
      </c>
    </row>
    <row r="23" ht="13.5" customHeight="1">
      <c r="A23" s="211" t="s">
        <v>1065</v>
      </c>
      <c r="B23" s="211" t="s">
        <v>1066</v>
      </c>
      <c r="C23" s="211" t="s">
        <v>1067</v>
      </c>
      <c r="D23" s="211" t="s">
        <v>591</v>
      </c>
      <c r="E23" s="211" t="s">
        <v>707</v>
      </c>
      <c r="F23" s="211" t="s">
        <v>723</v>
      </c>
      <c r="G23" s="211" t="s">
        <v>1068</v>
      </c>
      <c r="H23" s="211" t="s">
        <v>1069</v>
      </c>
      <c r="I23" s="211" t="s">
        <v>1070</v>
      </c>
      <c r="J23" s="211" t="s">
        <v>1071</v>
      </c>
      <c r="K23" s="211" t="s">
        <v>1072</v>
      </c>
    </row>
    <row r="24" ht="13.5" customHeight="1">
      <c r="A24" s="211" t="s">
        <v>1073</v>
      </c>
      <c r="B24" s="211" t="s">
        <v>1074</v>
      </c>
      <c r="C24" s="211" t="s">
        <v>1075</v>
      </c>
      <c r="D24" s="211" t="s">
        <v>597</v>
      </c>
      <c r="E24" s="211" t="s">
        <v>691</v>
      </c>
      <c r="F24" s="211" t="s">
        <v>532</v>
      </c>
      <c r="G24" s="211" t="s">
        <v>1020</v>
      </c>
      <c r="H24" s="211" t="s">
        <v>1027</v>
      </c>
      <c r="I24" s="211" t="s">
        <v>1076</v>
      </c>
      <c r="J24" s="211" t="s">
        <v>1077</v>
      </c>
      <c r="K24" s="211" t="s">
        <v>988</v>
      </c>
    </row>
    <row r="26" ht="15.75" customHeight="1">
      <c r="A26" s="209" t="s">
        <v>1078</v>
      </c>
      <c r="B26" s="209"/>
      <c r="C26" s="209"/>
      <c r="D26" s="209"/>
      <c r="E26" s="209"/>
      <c r="F26" s="209"/>
      <c r="G26" s="209"/>
      <c r="H26" s="209"/>
      <c r="I26" s="209"/>
      <c r="J26" s="209"/>
    </row>
    <row r="27" ht="13.5" customHeight="1">
      <c r="A27" s="210" t="s">
        <v>967</v>
      </c>
      <c r="B27" s="210" t="s">
        <v>968</v>
      </c>
      <c r="C27" s="210" t="s">
        <v>969</v>
      </c>
      <c r="D27" s="210" t="s">
        <v>970</v>
      </c>
      <c r="E27" s="210" t="s">
        <v>674</v>
      </c>
      <c r="F27" s="210" t="s">
        <v>412</v>
      </c>
      <c r="G27" s="210" t="s">
        <v>971</v>
      </c>
      <c r="H27" s="210" t="s">
        <v>972</v>
      </c>
      <c r="I27" s="210" t="s">
        <v>973</v>
      </c>
      <c r="J27" s="210" t="s">
        <v>974</v>
      </c>
      <c r="K27" s="210" t="s">
        <v>975</v>
      </c>
    </row>
    <row r="28" ht="13.5" customHeight="1">
      <c r="A28" s="211" t="s">
        <v>577</v>
      </c>
      <c r="B28" s="211" t="s">
        <v>1079</v>
      </c>
      <c r="C28" s="211" t="s">
        <v>1080</v>
      </c>
      <c r="D28" s="211" t="s">
        <v>604</v>
      </c>
      <c r="E28" s="211" t="s">
        <v>707</v>
      </c>
      <c r="F28" s="211" t="s">
        <v>703</v>
      </c>
      <c r="G28" s="211" t="s">
        <v>1081</v>
      </c>
      <c r="H28" s="211" t="s">
        <v>1082</v>
      </c>
      <c r="I28" s="211" t="s">
        <v>1083</v>
      </c>
      <c r="J28" s="211" t="s">
        <v>1084</v>
      </c>
      <c r="K28" s="211" t="s">
        <v>981</v>
      </c>
    </row>
    <row r="29" ht="13.5" customHeight="1">
      <c r="A29" s="211" t="s">
        <v>1085</v>
      </c>
      <c r="B29" s="211" t="s">
        <v>1086</v>
      </c>
      <c r="C29" s="211" t="s">
        <v>1087</v>
      </c>
      <c r="D29" s="211" t="s">
        <v>604</v>
      </c>
      <c r="E29" s="211" t="s">
        <v>707</v>
      </c>
      <c r="F29" s="211" t="s">
        <v>703</v>
      </c>
      <c r="G29" s="211" t="s">
        <v>1088</v>
      </c>
      <c r="H29" s="211" t="s">
        <v>1089</v>
      </c>
      <c r="I29" s="211" t="s">
        <v>1090</v>
      </c>
      <c r="J29" s="211" t="s">
        <v>1091</v>
      </c>
      <c r="K29" s="211" t="s">
        <v>981</v>
      </c>
    </row>
    <row r="30" ht="13.5" customHeight="1">
      <c r="A30" s="211" t="s">
        <v>578</v>
      </c>
      <c r="B30" s="211" t="s">
        <v>1092</v>
      </c>
      <c r="C30" s="211" t="s">
        <v>1093</v>
      </c>
      <c r="D30" s="211" t="s">
        <v>604</v>
      </c>
      <c r="E30" s="211" t="s">
        <v>707</v>
      </c>
      <c r="F30" s="211" t="s">
        <v>703</v>
      </c>
      <c r="G30" s="211" t="s">
        <v>1094</v>
      </c>
      <c r="H30" s="211" t="s">
        <v>1095</v>
      </c>
      <c r="I30" s="211" t="s">
        <v>1096</v>
      </c>
      <c r="J30" s="211" t="s">
        <v>1097</v>
      </c>
      <c r="K30" s="211" t="s">
        <v>981</v>
      </c>
    </row>
    <row r="31" ht="13.5" customHeight="1">
      <c r="A31" s="211" t="s">
        <v>1098</v>
      </c>
      <c r="B31" s="211" t="s">
        <v>1099</v>
      </c>
      <c r="C31" s="211" t="s">
        <v>1100</v>
      </c>
      <c r="D31" s="211" t="s">
        <v>604</v>
      </c>
      <c r="E31" s="211" t="s">
        <v>678</v>
      </c>
      <c r="F31" s="211" t="s">
        <v>703</v>
      </c>
      <c r="G31" s="211" t="s">
        <v>1101</v>
      </c>
      <c r="H31" s="211" t="s">
        <v>1102</v>
      </c>
      <c r="I31" s="211" t="s">
        <v>1103</v>
      </c>
      <c r="J31" s="211" t="s">
        <v>1104</v>
      </c>
      <c r="K31" s="211" t="s">
        <v>981</v>
      </c>
    </row>
    <row r="32" ht="13.5" customHeight="1">
      <c r="A32" s="211" t="s">
        <v>521</v>
      </c>
      <c r="B32" s="211" t="s">
        <v>1105</v>
      </c>
      <c r="C32" s="211" t="s">
        <v>1106</v>
      </c>
      <c r="D32" s="211" t="s">
        <v>564</v>
      </c>
      <c r="E32" s="211" t="s">
        <v>678</v>
      </c>
      <c r="F32" s="211" t="s">
        <v>703</v>
      </c>
      <c r="G32" s="211" t="s">
        <v>1107</v>
      </c>
      <c r="H32" s="211" t="s">
        <v>1108</v>
      </c>
      <c r="I32" s="211" t="s">
        <v>1109</v>
      </c>
      <c r="J32" s="211" t="s">
        <v>1110</v>
      </c>
      <c r="K32" s="211" t="s">
        <v>1111</v>
      </c>
    </row>
    <row r="33" ht="13.5" customHeight="1">
      <c r="A33" s="211" t="s">
        <v>1112</v>
      </c>
      <c r="B33" s="211" t="s">
        <v>1113</v>
      </c>
      <c r="C33" s="211" t="s">
        <v>1113</v>
      </c>
      <c r="D33" s="211" t="s">
        <v>604</v>
      </c>
      <c r="E33" s="211" t="s">
        <v>707</v>
      </c>
      <c r="F33" s="211" t="s">
        <v>703</v>
      </c>
      <c r="G33" s="211" t="s">
        <v>1114</v>
      </c>
      <c r="H33" s="211" t="s">
        <v>1115</v>
      </c>
      <c r="I33" s="211" t="s">
        <v>1116</v>
      </c>
      <c r="J33" s="211" t="s">
        <v>1117</v>
      </c>
      <c r="K33" s="211" t="s">
        <v>988</v>
      </c>
    </row>
    <row r="34" ht="13.5" customHeight="1">
      <c r="A34" s="211" t="s">
        <v>1118</v>
      </c>
      <c r="B34" s="211" t="s">
        <v>1119</v>
      </c>
      <c r="C34" s="211" t="s">
        <v>1119</v>
      </c>
      <c r="D34" s="211" t="s">
        <v>1120</v>
      </c>
      <c r="E34" s="211" t="s">
        <v>707</v>
      </c>
      <c r="F34" s="211" t="s">
        <v>703</v>
      </c>
      <c r="G34" s="211" t="s">
        <v>1121</v>
      </c>
      <c r="H34" s="211" t="s">
        <v>1122</v>
      </c>
      <c r="I34" s="211" t="s">
        <v>1123</v>
      </c>
      <c r="J34" s="211" t="s">
        <v>1124</v>
      </c>
      <c r="K34" s="211" t="s">
        <v>988</v>
      </c>
    </row>
    <row r="36" ht="15.75" customHeight="1">
      <c r="A36" s="209" t="s">
        <v>1125</v>
      </c>
      <c r="B36" s="209"/>
      <c r="C36" s="209"/>
      <c r="D36" s="209"/>
      <c r="E36" s="209"/>
      <c r="F36" s="209"/>
      <c r="G36" s="209"/>
      <c r="H36" s="209"/>
    </row>
    <row r="37" ht="13.5" customHeight="1">
      <c r="A37" s="210" t="s">
        <v>967</v>
      </c>
      <c r="B37" s="210" t="s">
        <v>968</v>
      </c>
      <c r="C37" s="210" t="s">
        <v>969</v>
      </c>
      <c r="D37" s="210" t="s">
        <v>970</v>
      </c>
      <c r="E37" s="210" t="s">
        <v>674</v>
      </c>
      <c r="F37" s="210" t="s">
        <v>412</v>
      </c>
      <c r="G37" s="210" t="s">
        <v>971</v>
      </c>
      <c r="H37" s="210" t="s">
        <v>972</v>
      </c>
      <c r="I37" s="210" t="s">
        <v>973</v>
      </c>
      <c r="J37" s="210" t="s">
        <v>974</v>
      </c>
      <c r="K37" s="210" t="s">
        <v>975</v>
      </c>
    </row>
    <row r="38" ht="13.5" customHeight="1">
      <c r="A38" s="211" t="s">
        <v>1126</v>
      </c>
      <c r="B38" s="211" t="s">
        <v>1127</v>
      </c>
      <c r="C38" s="211" t="s">
        <v>1128</v>
      </c>
      <c r="D38" s="211" t="s">
        <v>591</v>
      </c>
      <c r="E38" s="211" t="s">
        <v>678</v>
      </c>
      <c r="F38" s="211" t="s">
        <v>697</v>
      </c>
      <c r="G38" s="211" t="s">
        <v>1129</v>
      </c>
      <c r="H38" s="211" t="s">
        <v>1002</v>
      </c>
      <c r="I38" s="211" t="s">
        <v>1130</v>
      </c>
      <c r="J38" s="211" t="s">
        <v>1131</v>
      </c>
      <c r="K38" s="211" t="s">
        <v>988</v>
      </c>
    </row>
    <row r="39" ht="13.5" customHeight="1">
      <c r="A39" s="211" t="s">
        <v>1132</v>
      </c>
      <c r="B39" s="211" t="s">
        <v>1133</v>
      </c>
      <c r="C39" s="211" t="s">
        <v>1134</v>
      </c>
      <c r="D39" s="211" t="s">
        <v>610</v>
      </c>
      <c r="E39" s="211" t="s">
        <v>678</v>
      </c>
      <c r="F39" s="211" t="s">
        <v>697</v>
      </c>
      <c r="G39" s="211" t="s">
        <v>1135</v>
      </c>
      <c r="H39" s="211" t="s">
        <v>1101</v>
      </c>
      <c r="I39" s="211" t="s">
        <v>1136</v>
      </c>
      <c r="J39" s="211" t="s">
        <v>1137</v>
      </c>
      <c r="K39" s="211" t="s">
        <v>981</v>
      </c>
    </row>
    <row r="40" ht="13.5" customHeight="1">
      <c r="A40" s="211" t="s">
        <v>1138</v>
      </c>
      <c r="B40" s="211" t="s">
        <v>1139</v>
      </c>
      <c r="C40" s="211" t="s">
        <v>1140</v>
      </c>
      <c r="D40" s="211" t="s">
        <v>591</v>
      </c>
      <c r="E40" s="211" t="s">
        <v>678</v>
      </c>
      <c r="F40" s="211" t="s">
        <v>697</v>
      </c>
      <c r="G40" s="211" t="s">
        <v>1141</v>
      </c>
      <c r="H40" s="211" t="s">
        <v>1068</v>
      </c>
      <c r="I40" s="211" t="s">
        <v>1142</v>
      </c>
      <c r="J40" s="211" t="s">
        <v>1143</v>
      </c>
      <c r="K40" s="211" t="s">
        <v>1072</v>
      </c>
    </row>
    <row r="41" ht="13.5" customHeight="1">
      <c r="A41" s="211" t="s">
        <v>1144</v>
      </c>
      <c r="B41" s="211" t="s">
        <v>1145</v>
      </c>
      <c r="C41" s="211" t="s">
        <v>1146</v>
      </c>
      <c r="D41" s="211" t="s">
        <v>610</v>
      </c>
      <c r="E41" s="211" t="s">
        <v>691</v>
      </c>
      <c r="F41" s="211" t="s">
        <v>700</v>
      </c>
      <c r="G41" s="211" t="s">
        <v>1147</v>
      </c>
      <c r="H41" s="211" t="s">
        <v>1148</v>
      </c>
      <c r="I41" s="211" t="s">
        <v>1149</v>
      </c>
      <c r="J41" s="211" t="s">
        <v>1150</v>
      </c>
      <c r="K41" s="211" t="s">
        <v>1151</v>
      </c>
    </row>
    <row r="42" ht="13.5" customHeight="1">
      <c r="A42" s="211" t="s">
        <v>1152</v>
      </c>
      <c r="B42" s="211" t="s">
        <v>1153</v>
      </c>
      <c r="C42" s="211" t="s">
        <v>1154</v>
      </c>
      <c r="D42" s="211" t="s">
        <v>610</v>
      </c>
      <c r="E42" s="211" t="s">
        <v>691</v>
      </c>
      <c r="F42" s="211" t="s">
        <v>700</v>
      </c>
      <c r="G42" s="211" t="s">
        <v>1155</v>
      </c>
      <c r="H42" s="211" t="s">
        <v>1156</v>
      </c>
      <c r="I42" s="211" t="s">
        <v>1157</v>
      </c>
      <c r="J42" s="211" t="s">
        <v>1158</v>
      </c>
      <c r="K42" s="211" t="s">
        <v>1151</v>
      </c>
    </row>
    <row r="43" ht="13.5" customHeight="1">
      <c r="A43" s="211" t="s">
        <v>1159</v>
      </c>
      <c r="B43" s="211" t="s">
        <v>1160</v>
      </c>
      <c r="C43" s="211" t="s">
        <v>1161</v>
      </c>
      <c r="D43" s="211" t="s">
        <v>610</v>
      </c>
      <c r="E43" s="211" t="s">
        <v>691</v>
      </c>
      <c r="F43" s="211" t="s">
        <v>700</v>
      </c>
      <c r="G43" s="211" t="s">
        <v>1162</v>
      </c>
      <c r="H43" s="211" t="s">
        <v>1163</v>
      </c>
      <c r="I43" s="211" t="s">
        <v>1164</v>
      </c>
      <c r="J43" s="211" t="s">
        <v>1165</v>
      </c>
      <c r="K43" s="211" t="s">
        <v>1111</v>
      </c>
    </row>
    <row r="44" ht="13.5" customHeight="1">
      <c r="A44" s="211" t="s">
        <v>1166</v>
      </c>
      <c r="B44" s="211" t="s">
        <v>1167</v>
      </c>
      <c r="C44" s="211" t="s">
        <v>1168</v>
      </c>
      <c r="D44" s="211" t="s">
        <v>1169</v>
      </c>
      <c r="E44" s="211" t="s">
        <v>678</v>
      </c>
      <c r="F44" s="211" t="s">
        <v>697</v>
      </c>
      <c r="G44" s="211" t="s">
        <v>1170</v>
      </c>
      <c r="H44" s="211" t="s">
        <v>1171</v>
      </c>
      <c r="I44" s="211" t="s">
        <v>1172</v>
      </c>
      <c r="J44" s="211" t="s">
        <v>1173</v>
      </c>
      <c r="K44" s="211" t="s">
        <v>1174</v>
      </c>
    </row>
    <row r="45" ht="13.5" customHeight="1">
      <c r="A45" s="211" t="s">
        <v>1175</v>
      </c>
      <c r="B45" s="211" t="s">
        <v>1176</v>
      </c>
      <c r="C45" s="211" t="s">
        <v>1177</v>
      </c>
      <c r="D45" s="211" t="s">
        <v>1169</v>
      </c>
      <c r="E45" s="211" t="s">
        <v>678</v>
      </c>
      <c r="F45" s="211" t="s">
        <v>697</v>
      </c>
      <c r="G45" s="211" t="s">
        <v>1178</v>
      </c>
      <c r="H45" s="211" t="s">
        <v>1179</v>
      </c>
      <c r="I45" s="211" t="s">
        <v>1180</v>
      </c>
      <c r="J45" s="211" t="s">
        <v>1181</v>
      </c>
      <c r="K45" s="211" t="s">
        <v>1182</v>
      </c>
    </row>
    <row r="47" ht="15.75" customHeight="1">
      <c r="A47" s="209" t="s">
        <v>1183</v>
      </c>
      <c r="B47" s="209"/>
      <c r="C47" s="209"/>
      <c r="D47" s="209"/>
      <c r="E47" s="209"/>
      <c r="F47" s="209"/>
      <c r="G47" s="209"/>
      <c r="H47" s="209"/>
    </row>
    <row r="48" ht="13.5" customHeight="1">
      <c r="A48" s="210" t="s">
        <v>967</v>
      </c>
      <c r="B48" s="210" t="s">
        <v>968</v>
      </c>
      <c r="C48" s="210" t="s">
        <v>969</v>
      </c>
      <c r="D48" s="210" t="s">
        <v>970</v>
      </c>
      <c r="E48" s="210" t="s">
        <v>674</v>
      </c>
      <c r="F48" s="210" t="s">
        <v>412</v>
      </c>
      <c r="G48" s="210" t="s">
        <v>971</v>
      </c>
      <c r="H48" s="210" t="s">
        <v>972</v>
      </c>
      <c r="I48" s="210" t="s">
        <v>973</v>
      </c>
      <c r="J48" s="210" t="s">
        <v>974</v>
      </c>
      <c r="K48" s="210" t="s">
        <v>975</v>
      </c>
    </row>
    <row r="49" ht="13.5" customHeight="1">
      <c r="A49" s="211" t="s">
        <v>1184</v>
      </c>
      <c r="B49" s="211" t="s">
        <v>1185</v>
      </c>
      <c r="C49" s="211" t="s">
        <v>1186</v>
      </c>
      <c r="D49" s="211" t="s">
        <v>1187</v>
      </c>
      <c r="E49" s="211" t="s">
        <v>707</v>
      </c>
      <c r="F49" s="211" t="s">
        <v>708</v>
      </c>
      <c r="G49" s="211" t="s">
        <v>1188</v>
      </c>
      <c r="H49" s="211" t="s">
        <v>1189</v>
      </c>
      <c r="I49" s="211" t="s">
        <v>1190</v>
      </c>
      <c r="J49" s="211" t="s">
        <v>1191</v>
      </c>
      <c r="K49" s="211" t="s">
        <v>981</v>
      </c>
    </row>
    <row r="50" ht="13.5" customHeight="1">
      <c r="A50" s="211" t="s">
        <v>1192</v>
      </c>
      <c r="B50" s="211" t="s">
        <v>1193</v>
      </c>
      <c r="C50" s="211" t="s">
        <v>1194</v>
      </c>
      <c r="D50" s="211" t="s">
        <v>1187</v>
      </c>
      <c r="E50" s="211" t="s">
        <v>707</v>
      </c>
      <c r="F50" s="211" t="s">
        <v>708</v>
      </c>
      <c r="G50" s="211" t="s">
        <v>1188</v>
      </c>
      <c r="H50" s="211" t="s">
        <v>1189</v>
      </c>
      <c r="I50" s="211" t="s">
        <v>1195</v>
      </c>
      <c r="J50" s="211" t="s">
        <v>1196</v>
      </c>
      <c r="K50" s="211" t="s">
        <v>981</v>
      </c>
    </row>
    <row r="51" ht="13.5" customHeight="1">
      <c r="A51" s="211" t="s">
        <v>1197</v>
      </c>
      <c r="B51" s="211" t="s">
        <v>1198</v>
      </c>
      <c r="C51" s="211" t="s">
        <v>1199</v>
      </c>
      <c r="D51" s="211" t="s">
        <v>1187</v>
      </c>
      <c r="E51" s="211" t="s">
        <v>707</v>
      </c>
      <c r="F51" s="211" t="s">
        <v>708</v>
      </c>
      <c r="G51" s="211" t="s">
        <v>1200</v>
      </c>
      <c r="H51" s="211" t="s">
        <v>1201</v>
      </c>
      <c r="I51" s="211" t="s">
        <v>1202</v>
      </c>
      <c r="J51" s="211" t="s">
        <v>1203</v>
      </c>
      <c r="K51" s="211" t="s">
        <v>1204</v>
      </c>
    </row>
    <row r="52" ht="13.5" customHeight="1">
      <c r="A52" s="211" t="s">
        <v>1205</v>
      </c>
      <c r="B52" s="211" t="s">
        <v>1206</v>
      </c>
      <c r="C52" s="211" t="s">
        <v>1207</v>
      </c>
      <c r="D52" s="211" t="s">
        <v>1187</v>
      </c>
      <c r="E52" s="211" t="s">
        <v>707</v>
      </c>
      <c r="F52" s="211" t="s">
        <v>708</v>
      </c>
      <c r="G52" s="211" t="s">
        <v>1200</v>
      </c>
      <c r="H52" s="211" t="s">
        <v>1201</v>
      </c>
      <c r="I52" s="211" t="s">
        <v>1208</v>
      </c>
      <c r="J52" s="211" t="s">
        <v>1209</v>
      </c>
      <c r="K52" s="211" t="s">
        <v>1204</v>
      </c>
    </row>
    <row r="53" ht="13.5" customHeight="1">
      <c r="A53" s="211" t="s">
        <v>1210</v>
      </c>
      <c r="B53" s="211" t="s">
        <v>1211</v>
      </c>
      <c r="C53" s="211" t="s">
        <v>1212</v>
      </c>
      <c r="D53" s="211" t="s">
        <v>1187</v>
      </c>
      <c r="E53" s="211" t="s">
        <v>707</v>
      </c>
      <c r="F53" s="211" t="s">
        <v>708</v>
      </c>
      <c r="G53" s="211" t="s">
        <v>1213</v>
      </c>
      <c r="H53" s="211" t="s">
        <v>1214</v>
      </c>
      <c r="I53" s="211" t="s">
        <v>1215</v>
      </c>
      <c r="J53" s="211" t="s">
        <v>1216</v>
      </c>
      <c r="K53" s="211" t="s">
        <v>988</v>
      </c>
    </row>
    <row r="54" ht="13.5" customHeight="1">
      <c r="A54" s="211" t="s">
        <v>1217</v>
      </c>
      <c r="B54" s="211" t="s">
        <v>1218</v>
      </c>
      <c r="C54" s="211" t="s">
        <v>1219</v>
      </c>
      <c r="D54" s="211" t="s">
        <v>1187</v>
      </c>
      <c r="E54" s="211" t="s">
        <v>678</v>
      </c>
      <c r="F54" s="211" t="s">
        <v>708</v>
      </c>
      <c r="G54" s="211" t="s">
        <v>1220</v>
      </c>
      <c r="H54" s="211" t="s">
        <v>1221</v>
      </c>
      <c r="I54" s="211" t="s">
        <v>1222</v>
      </c>
      <c r="J54" s="211" t="s">
        <v>1223</v>
      </c>
      <c r="K54" s="211" t="s">
        <v>981</v>
      </c>
    </row>
    <row r="55" ht="13.5" customHeight="1">
      <c r="A55" s="211" t="s">
        <v>1224</v>
      </c>
      <c r="B55" s="211" t="s">
        <v>1225</v>
      </c>
      <c r="C55" s="211" t="s">
        <v>1226</v>
      </c>
      <c r="D55" s="211" t="s">
        <v>1227</v>
      </c>
      <c r="E55" s="211" t="s">
        <v>678</v>
      </c>
      <c r="F55" s="211" t="s">
        <v>708</v>
      </c>
      <c r="G55" s="211" t="s">
        <v>1228</v>
      </c>
      <c r="H55" s="211" t="s">
        <v>1229</v>
      </c>
      <c r="I55" s="211" t="s">
        <v>1230</v>
      </c>
      <c r="J55" s="211" t="s">
        <v>1231</v>
      </c>
      <c r="K55" s="211" t="s">
        <v>1174</v>
      </c>
    </row>
    <row r="57" ht="15.75" customHeight="1">
      <c r="A57" s="209" t="s">
        <v>1232</v>
      </c>
      <c r="B57" s="209"/>
      <c r="C57" s="209"/>
      <c r="D57" s="209"/>
      <c r="E57" s="209"/>
      <c r="F57" s="209"/>
      <c r="G57" s="209"/>
      <c r="H57" s="209"/>
    </row>
    <row r="58" ht="13.5" customHeight="1">
      <c r="A58" s="210" t="s">
        <v>967</v>
      </c>
      <c r="B58" s="210" t="s">
        <v>968</v>
      </c>
      <c r="C58" s="210" t="s">
        <v>969</v>
      </c>
      <c r="D58" s="210" t="s">
        <v>970</v>
      </c>
      <c r="E58" s="210" t="s">
        <v>674</v>
      </c>
      <c r="F58" s="210" t="s">
        <v>412</v>
      </c>
      <c r="G58" s="210" t="s">
        <v>971</v>
      </c>
      <c r="H58" s="210" t="s">
        <v>972</v>
      </c>
      <c r="I58" s="210" t="s">
        <v>973</v>
      </c>
      <c r="J58" s="210" t="s">
        <v>974</v>
      </c>
      <c r="K58" s="210" t="s">
        <v>975</v>
      </c>
    </row>
    <row r="59" ht="13.5" customHeight="1">
      <c r="A59" s="211" t="s">
        <v>1233</v>
      </c>
      <c r="B59" s="211" t="s">
        <v>1234</v>
      </c>
      <c r="C59" s="211" t="s">
        <v>1235</v>
      </c>
      <c r="D59" s="211" t="s">
        <v>1236</v>
      </c>
      <c r="E59" s="211" t="s">
        <v>678</v>
      </c>
      <c r="F59" s="211" t="s">
        <v>715</v>
      </c>
      <c r="G59" s="211" t="s">
        <v>1237</v>
      </c>
      <c r="H59" s="211" t="s">
        <v>1238</v>
      </c>
      <c r="I59" s="211" t="s">
        <v>1239</v>
      </c>
      <c r="J59" s="211" t="s">
        <v>1240</v>
      </c>
      <c r="K59" s="211" t="s">
        <v>1241</v>
      </c>
    </row>
    <row r="60" ht="13.5" customHeight="1">
      <c r="A60" s="211" t="s">
        <v>1242</v>
      </c>
      <c r="B60" s="211" t="s">
        <v>1243</v>
      </c>
      <c r="C60" s="211" t="s">
        <v>1244</v>
      </c>
      <c r="D60" s="211" t="s">
        <v>1236</v>
      </c>
      <c r="E60" s="211" t="s">
        <v>678</v>
      </c>
      <c r="F60" s="211" t="s">
        <v>715</v>
      </c>
      <c r="G60" s="211" t="s">
        <v>1237</v>
      </c>
      <c r="H60" s="211" t="s">
        <v>1238</v>
      </c>
      <c r="I60" s="211" t="s">
        <v>1245</v>
      </c>
      <c r="J60" s="211" t="s">
        <v>1246</v>
      </c>
      <c r="K60" s="211" t="s">
        <v>1247</v>
      </c>
    </row>
    <row r="61" ht="13.5" customHeight="1">
      <c r="A61" s="211" t="s">
        <v>1248</v>
      </c>
      <c r="B61" s="211" t="s">
        <v>1249</v>
      </c>
      <c r="C61" s="211" t="s">
        <v>1250</v>
      </c>
      <c r="D61" s="211" t="s">
        <v>1251</v>
      </c>
      <c r="E61" s="211" t="s">
        <v>678</v>
      </c>
      <c r="F61" s="211" t="s">
        <v>715</v>
      </c>
      <c r="G61" s="211" t="s">
        <v>840</v>
      </c>
      <c r="H61" s="211" t="s">
        <v>1252</v>
      </c>
      <c r="I61" s="211" t="s">
        <v>1253</v>
      </c>
      <c r="J61" s="211" t="s">
        <v>1254</v>
      </c>
      <c r="K61" s="211" t="s">
        <v>1255</v>
      </c>
    </row>
    <row r="62" ht="13.5" customHeight="1">
      <c r="A62" s="211" t="s">
        <v>1256</v>
      </c>
      <c r="B62" s="211" t="s">
        <v>1257</v>
      </c>
      <c r="C62" s="211" t="s">
        <v>1258</v>
      </c>
      <c r="D62" s="211" t="s">
        <v>1259</v>
      </c>
      <c r="E62" s="211" t="s">
        <v>719</v>
      </c>
      <c r="F62" s="211" t="s">
        <v>715</v>
      </c>
      <c r="G62" s="211" t="s">
        <v>1260</v>
      </c>
      <c r="H62" s="211" t="s">
        <v>1261</v>
      </c>
      <c r="I62" s="211" t="s">
        <v>1262</v>
      </c>
      <c r="J62" s="211" t="s">
        <v>1263</v>
      </c>
      <c r="K62" s="211" t="s">
        <v>1264</v>
      </c>
    </row>
    <row r="64" ht="15" customHeight="1">
      <c r="A64" s="209" t="s">
        <v>1265</v>
      </c>
      <c r="B64" s="209"/>
      <c r="C64" s="209"/>
      <c r="D64" s="209"/>
      <c r="E64" s="209"/>
      <c r="F64" s="209"/>
      <c r="G64" s="209"/>
      <c r="H64" s="209"/>
      <c r="I64" s="209"/>
      <c r="J64" s="209"/>
      <c r="K64" s="209"/>
    </row>
    <row r="65" ht="15" customHeight="1">
      <c r="A65" s="210" t="s">
        <v>967</v>
      </c>
      <c r="B65" s="210" t="s">
        <v>968</v>
      </c>
      <c r="C65" s="210" t="s">
        <v>969</v>
      </c>
      <c r="D65" s="210" t="s">
        <v>970</v>
      </c>
      <c r="E65" s="210" t="s">
        <v>674</v>
      </c>
      <c r="F65" s="210" t="s">
        <v>412</v>
      </c>
      <c r="G65" s="210" t="s">
        <v>1266</v>
      </c>
      <c r="H65" s="210" t="s">
        <v>1267</v>
      </c>
      <c r="I65" s="210" t="s">
        <v>973</v>
      </c>
      <c r="J65" s="210" t="s">
        <v>797</v>
      </c>
      <c r="K65" s="210" t="s">
        <v>975</v>
      </c>
    </row>
    <row r="66" ht="15" customHeight="1">
      <c r="A66" s="211" t="s">
        <v>1268</v>
      </c>
      <c r="B66" s="211" t="s">
        <v>1269</v>
      </c>
      <c r="C66" s="211" t="s">
        <v>1270</v>
      </c>
      <c r="D66" s="211" t="s">
        <v>1271</v>
      </c>
      <c r="E66" s="211" t="s">
        <v>678</v>
      </c>
      <c r="F66" s="211" t="s">
        <v>679</v>
      </c>
      <c r="G66" s="211" t="s">
        <v>1272</v>
      </c>
      <c r="H66" s="211" t="s">
        <v>1273</v>
      </c>
      <c r="I66" s="211" t="s">
        <v>1274</v>
      </c>
      <c r="J66" s="211" t="s">
        <v>1275</v>
      </c>
      <c r="K66" s="211" t="s">
        <v>1276</v>
      </c>
    </row>
    <row r="67" ht="15" customHeight="1">
      <c r="A67" s="211" t="s">
        <v>1277</v>
      </c>
      <c r="B67" s="211" t="s">
        <v>1278</v>
      </c>
      <c r="C67" s="211" t="s">
        <v>1279</v>
      </c>
      <c r="D67" s="211" t="s">
        <v>1271</v>
      </c>
      <c r="E67" s="211" t="s">
        <v>678</v>
      </c>
      <c r="F67" s="211" t="s">
        <v>679</v>
      </c>
      <c r="G67" s="211" t="s">
        <v>1280</v>
      </c>
      <c r="H67" s="211" t="s">
        <v>1129</v>
      </c>
      <c r="I67" s="211" t="s">
        <v>1281</v>
      </c>
      <c r="J67" s="211" t="s">
        <v>1282</v>
      </c>
      <c r="K67" s="211" t="s">
        <v>988</v>
      </c>
    </row>
    <row r="68" ht="15" customHeight="1">
      <c r="A68" s="211" t="s">
        <v>1283</v>
      </c>
      <c r="B68" s="211" t="s">
        <v>1284</v>
      </c>
      <c r="C68" s="211" t="s">
        <v>1285</v>
      </c>
      <c r="D68" s="211" t="s">
        <v>1286</v>
      </c>
      <c r="E68" s="211" t="s">
        <v>678</v>
      </c>
      <c r="F68" s="211" t="s">
        <v>684</v>
      </c>
      <c r="G68" s="211" t="s">
        <v>1287</v>
      </c>
      <c r="H68" s="211" t="s">
        <v>1287</v>
      </c>
      <c r="I68" s="211" t="s">
        <v>1288</v>
      </c>
      <c r="J68" s="211" t="s">
        <v>1289</v>
      </c>
      <c r="K68" s="211" t="s">
        <v>981</v>
      </c>
    </row>
    <row r="69" ht="15" customHeight="1">
      <c r="A69" s="211" t="s">
        <v>1290</v>
      </c>
      <c r="B69" s="211" t="s">
        <v>1291</v>
      </c>
      <c r="C69" s="211" t="s">
        <v>1292</v>
      </c>
      <c r="D69" s="211" t="s">
        <v>1286</v>
      </c>
      <c r="E69" s="211" t="s">
        <v>678</v>
      </c>
      <c r="F69" s="211" t="s">
        <v>723</v>
      </c>
      <c r="G69" s="211" t="s">
        <v>1009</v>
      </c>
      <c r="H69" s="211" t="s">
        <v>1293</v>
      </c>
      <c r="I69" s="211" t="s">
        <v>1294</v>
      </c>
      <c r="J69" s="211" t="s">
        <v>1295</v>
      </c>
      <c r="K69" s="211" t="s">
        <v>988</v>
      </c>
    </row>
    <row r="70" ht="15" customHeight="1">
      <c r="A70" s="211" t="s">
        <v>1296</v>
      </c>
      <c r="B70" s="211" t="s">
        <v>1297</v>
      </c>
      <c r="C70" s="211" t="s">
        <v>1298</v>
      </c>
      <c r="D70" s="211" t="s">
        <v>1286</v>
      </c>
      <c r="E70" s="211" t="s">
        <v>678</v>
      </c>
      <c r="F70" s="211" t="s">
        <v>682</v>
      </c>
      <c r="G70" s="211" t="s">
        <v>1008</v>
      </c>
      <c r="H70" s="211" t="s">
        <v>1009</v>
      </c>
      <c r="I70" s="211" t="s">
        <v>1299</v>
      </c>
      <c r="J70" s="211" t="s">
        <v>1300</v>
      </c>
      <c r="K70" s="211" t="s">
        <v>981</v>
      </c>
    </row>
    <row r="71" ht="15" customHeight="1">
      <c r="A71" s="211" t="s">
        <v>1301</v>
      </c>
      <c r="B71" s="211" t="s">
        <v>1302</v>
      </c>
      <c r="C71" s="211" t="s">
        <v>1303</v>
      </c>
      <c r="D71" s="211" t="s">
        <v>1286</v>
      </c>
      <c r="E71" s="211" t="s">
        <v>678</v>
      </c>
      <c r="F71" s="211" t="s">
        <v>723</v>
      </c>
      <c r="G71" s="211" t="s">
        <v>1014</v>
      </c>
      <c r="H71" s="211" t="s">
        <v>1304</v>
      </c>
      <c r="I71" s="211" t="s">
        <v>1305</v>
      </c>
      <c r="J71" s="211" t="s">
        <v>1306</v>
      </c>
      <c r="K71" s="211" t="s">
        <v>988</v>
      </c>
    </row>
    <row r="72" ht="15" customHeight="1">
      <c r="A72" s="211" t="s">
        <v>1307</v>
      </c>
      <c r="B72" s="211" t="s">
        <v>1308</v>
      </c>
      <c r="C72" s="211" t="s">
        <v>1309</v>
      </c>
      <c r="D72" s="211" t="s">
        <v>1286</v>
      </c>
      <c r="E72" s="211" t="s">
        <v>678</v>
      </c>
      <c r="F72" s="211" t="s">
        <v>679</v>
      </c>
      <c r="G72" s="211" t="s">
        <v>1122</v>
      </c>
      <c r="H72" s="211" t="s">
        <v>1310</v>
      </c>
      <c r="I72" s="211" t="s">
        <v>1311</v>
      </c>
      <c r="J72" s="211" t="s">
        <v>1312</v>
      </c>
      <c r="K72" s="211" t="s">
        <v>988</v>
      </c>
    </row>
    <row r="73" ht="15" customHeight="1">
      <c r="A73" s="211" t="s">
        <v>1313</v>
      </c>
      <c r="B73" s="211" t="s">
        <v>1314</v>
      </c>
      <c r="C73" s="211" t="s">
        <v>1315</v>
      </c>
      <c r="D73" s="211" t="s">
        <v>723</v>
      </c>
      <c r="E73" s="211" t="s">
        <v>707</v>
      </c>
      <c r="F73" s="211" t="s">
        <v>694</v>
      </c>
      <c r="G73" s="211" t="s">
        <v>1055</v>
      </c>
      <c r="H73" s="211" t="s">
        <v>1056</v>
      </c>
      <c r="I73" s="211" t="s">
        <v>1316</v>
      </c>
      <c r="J73" s="211" t="s">
        <v>1317</v>
      </c>
      <c r="K73" s="211" t="s">
        <v>1318</v>
      </c>
    </row>
    <row r="74" ht="15" customHeight="1">
      <c r="A74" s="211" t="s">
        <v>1319</v>
      </c>
      <c r="B74" s="211" t="s">
        <v>1320</v>
      </c>
      <c r="C74" s="211" t="s">
        <v>1321</v>
      </c>
      <c r="D74" s="211" t="s">
        <v>1286</v>
      </c>
      <c r="E74" s="211" t="s">
        <v>678</v>
      </c>
      <c r="F74" s="211" t="s">
        <v>723</v>
      </c>
      <c r="G74" s="211" t="s">
        <v>1322</v>
      </c>
      <c r="H74" s="211" t="s">
        <v>1323</v>
      </c>
      <c r="I74" s="211" t="s">
        <v>1324</v>
      </c>
      <c r="J74" s="211" t="s">
        <v>1325</v>
      </c>
      <c r="K74" s="211" t="s">
        <v>1326</v>
      </c>
    </row>
    <row r="75" ht="15" customHeight="1">
      <c r="A75" s="211" t="s">
        <v>1327</v>
      </c>
      <c r="B75" s="211" t="s">
        <v>1328</v>
      </c>
      <c r="C75" s="211" t="s">
        <v>1329</v>
      </c>
      <c r="D75" s="211" t="s">
        <v>1286</v>
      </c>
      <c r="E75" s="211" t="s">
        <v>678</v>
      </c>
      <c r="F75" s="211" t="s">
        <v>697</v>
      </c>
      <c r="G75" s="211" t="s">
        <v>1330</v>
      </c>
      <c r="H75" s="211" t="s">
        <v>1331</v>
      </c>
      <c r="I75" s="211" t="s">
        <v>1332</v>
      </c>
      <c r="J75" s="211" t="s">
        <v>1333</v>
      </c>
      <c r="K75" s="211" t="s">
        <v>1326</v>
      </c>
    </row>
    <row r="77" ht="15" customHeight="1">
      <c r="A77" s="343" t="s">
        <v>1334</v>
      </c>
      <c r="B77" s="343"/>
      <c r="C77" s="343"/>
      <c r="D77" s="343"/>
      <c r="E77" s="343"/>
      <c r="F77" s="343"/>
      <c r="G77" s="343"/>
      <c r="H77" s="343"/>
      <c r="I77" s="343"/>
      <c r="J77" s="343"/>
      <c r="K77" s="343"/>
    </row>
    <row r="78" ht="15" customHeight="1">
      <c r="A78" s="254" t="s">
        <v>1335</v>
      </c>
      <c r="B78" s="254" t="s">
        <v>1336</v>
      </c>
      <c r="C78" s="254" t="s">
        <v>1337</v>
      </c>
      <c r="D78" s="254" t="s">
        <v>1338</v>
      </c>
    </row>
    <row r="79" ht="15" customHeight="1">
      <c r="A79" s="211" t="s">
        <v>29</v>
      </c>
      <c r="B79" s="211" t="s">
        <v>1339</v>
      </c>
      <c r="C79" s="211" t="s">
        <v>1340</v>
      </c>
      <c r="D79" s="211">
        <v>1</v>
      </c>
    </row>
    <row r="80" ht="15" customHeight="1">
      <c r="A80" s="211" t="s">
        <v>1341</v>
      </c>
      <c r="B80" s="211" t="s">
        <v>1342</v>
      </c>
      <c r="C80" s="211" t="s">
        <v>1343</v>
      </c>
      <c r="D80" s="211">
        <v>2</v>
      </c>
    </row>
    <row r="81" ht="15" customHeight="1">
      <c r="A81" s="211" t="s">
        <v>1344</v>
      </c>
      <c r="B81" s="211" t="s">
        <v>1345</v>
      </c>
      <c r="C81" s="211" t="s">
        <v>1346</v>
      </c>
      <c r="D81" s="211">
        <v>3</v>
      </c>
    </row>
    <row r="82" ht="15" customHeight="1">
      <c r="A82" s="211" t="s">
        <v>1347</v>
      </c>
      <c r="B82" s="211" t="s">
        <v>1348</v>
      </c>
      <c r="C82" s="211" t="s">
        <v>1349</v>
      </c>
      <c r="D82" s="211">
        <v>4</v>
      </c>
    </row>
    <row r="83" ht="15" customHeight="1">
      <c r="A83" s="211" t="s">
        <v>982</v>
      </c>
      <c r="B83" s="211" t="s">
        <v>1350</v>
      </c>
      <c r="C83" s="211" t="s">
        <v>1351</v>
      </c>
      <c r="D83" s="211">
        <v>5</v>
      </c>
    </row>
    <row r="84" ht="15" customHeight="1">
      <c r="A84" s="211" t="s">
        <v>34</v>
      </c>
      <c r="B84" s="211" t="s">
        <v>1352</v>
      </c>
      <c r="C84" s="211" t="s">
        <v>1353</v>
      </c>
      <c r="D84" s="211">
        <v>6</v>
      </c>
    </row>
    <row r="85" ht="15" customHeight="1">
      <c r="A85" s="211" t="s">
        <v>10</v>
      </c>
      <c r="B85" s="211" t="s">
        <v>1354</v>
      </c>
      <c r="C85" s="211" t="s">
        <v>1355</v>
      </c>
      <c r="D85" s="211">
        <v>7</v>
      </c>
    </row>
    <row r="86" ht="15" customHeight="1">
      <c r="A86" s="211" t="s">
        <v>1356</v>
      </c>
      <c r="B86" s="211" t="s">
        <v>1357</v>
      </c>
      <c r="C86" s="211" t="s">
        <v>1358</v>
      </c>
      <c r="D86" s="211">
        <v>8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6F2FA7B-D218-2C22-930A-FB68AA621598}" mc:Ignorable="x14ac xr xr2 xr3">
  <dimension ref="A1:GR50000"/>
  <sheetViews>
    <sheetView showGridLines="0" topLeftCell="A1" workbookViewId="0" tabSelected="1">
      <selection activeCell="A1" sqref="A1"/>
    </sheetView>
  </sheetViews>
  <sheetFormatPr defaultRowHeight="15" defaultColWidth="7.75390625" customHeight="1"/>
  <cols>
    <col min="1" max="1" width="8.125" customWidth="1"/>
    <col min="2" max="2" width="18.75390625" customWidth="1"/>
    <col min="3" max="3" width="20.00390625" customWidth="1"/>
    <col min="4" max="4" width="7.50390625" customWidth="1"/>
    <col min="5" max="5" width="8.125" customWidth="1"/>
    <col min="6" max="6" width="16.25390625" customWidth="1"/>
    <col min="7" max="7" width="12.50390625" customWidth="1"/>
    <col min="8" max="8" width="13.75390625" customWidth="1"/>
    <col min="9" max="9" width="21.25390625" customWidth="1"/>
    <col min="10" max="10" width="12.50390625" customWidth="1"/>
  </cols>
  <sheetData>
    <row r="1" ht="19.5" customHeight="1">
      <c r="A1" s="340" t="s">
        <v>1359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</row>
    <row r="2" ht="14.25" customHeight="1">
      <c r="A2" s="203" t="s">
        <v>1360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</row>
    <row r="4" ht="15.75" customHeight="1">
      <c r="A4" s="344" t="s">
        <v>1361</v>
      </c>
      <c r="B4" s="344"/>
      <c r="C4" s="344"/>
      <c r="D4" s="344"/>
      <c r="E4" s="344"/>
      <c r="F4" s="344"/>
      <c r="G4" s="344"/>
      <c r="H4" s="344"/>
      <c r="I4" s="344"/>
      <c r="J4" s="344"/>
    </row>
    <row r="5" ht="13.5" customHeight="1">
      <c r="A5" s="210" t="s">
        <v>1362</v>
      </c>
      <c r="B5" s="210" t="s">
        <v>1363</v>
      </c>
      <c r="C5" s="210" t="s">
        <v>1364</v>
      </c>
      <c r="D5" s="210" t="s">
        <v>630</v>
      </c>
      <c r="E5" s="210" t="s">
        <v>1365</v>
      </c>
      <c r="F5" s="210" t="s">
        <v>1366</v>
      </c>
      <c r="G5" s="210" t="s">
        <v>1367</v>
      </c>
      <c r="H5" s="210" t="s">
        <v>1368</v>
      </c>
      <c r="I5" s="210" t="s">
        <v>1369</v>
      </c>
      <c r="J5" s="210" t="s">
        <v>1370</v>
      </c>
    </row>
    <row r="6" ht="13.5" customHeight="1">
      <c r="A6" s="211" t="s">
        <v>1371</v>
      </c>
      <c r="B6" s="211" t="s">
        <v>1372</v>
      </c>
      <c r="C6" s="211" t="s">
        <v>1373</v>
      </c>
      <c r="D6" s="211" t="s">
        <v>1374</v>
      </c>
      <c r="E6" s="211" t="s">
        <v>800</v>
      </c>
      <c r="F6" s="211" t="s">
        <v>1375</v>
      </c>
      <c r="G6" s="211" t="s">
        <v>1376</v>
      </c>
      <c r="H6" s="211" t="s">
        <v>1377</v>
      </c>
      <c r="I6" s="211" t="s">
        <v>1378</v>
      </c>
      <c r="J6" s="211" t="s">
        <v>1379</v>
      </c>
    </row>
    <row r="7" ht="13.5" customHeight="1">
      <c r="A7" s="211" t="s">
        <v>1380</v>
      </c>
      <c r="B7" s="211" t="s">
        <v>1381</v>
      </c>
      <c r="C7" s="211" t="s">
        <v>1382</v>
      </c>
      <c r="D7" s="211" t="s">
        <v>1374</v>
      </c>
      <c r="E7" s="211" t="s">
        <v>818</v>
      </c>
      <c r="F7" s="211" t="s">
        <v>342</v>
      </c>
      <c r="G7" s="211" t="s">
        <v>751</v>
      </c>
      <c r="H7" s="211" t="s">
        <v>748</v>
      </c>
      <c r="I7" s="211" t="s">
        <v>1383</v>
      </c>
      <c r="J7" s="211" t="s">
        <v>1384</v>
      </c>
    </row>
    <row r="8" ht="13.5" customHeight="1">
      <c r="A8" s="211" t="s">
        <v>1385</v>
      </c>
      <c r="B8" s="211" t="s">
        <v>1386</v>
      </c>
      <c r="C8" s="211" t="s">
        <v>1387</v>
      </c>
      <c r="D8" s="211" t="s">
        <v>1374</v>
      </c>
      <c r="E8" s="211" t="s">
        <v>818</v>
      </c>
      <c r="F8" s="211" t="s">
        <v>342</v>
      </c>
      <c r="G8" s="211" t="s">
        <v>751</v>
      </c>
      <c r="H8" s="211" t="s">
        <v>748</v>
      </c>
      <c r="I8" s="211" t="s">
        <v>1388</v>
      </c>
      <c r="J8" s="211" t="s">
        <v>1384</v>
      </c>
    </row>
    <row r="9" ht="13.5" customHeight="1">
      <c r="A9" s="211" t="s">
        <v>1389</v>
      </c>
      <c r="B9" s="211" t="s">
        <v>1390</v>
      </c>
      <c r="C9" s="211" t="s">
        <v>1391</v>
      </c>
      <c r="D9" s="211" t="s">
        <v>1374</v>
      </c>
      <c r="E9" s="211" t="s">
        <v>800</v>
      </c>
      <c r="F9" s="211" t="s">
        <v>1392</v>
      </c>
      <c r="G9" s="211" t="s">
        <v>355</v>
      </c>
      <c r="H9" s="211" t="s">
        <v>1393</v>
      </c>
      <c r="I9" s="211" t="s">
        <v>1394</v>
      </c>
      <c r="J9" s="211" t="s">
        <v>1395</v>
      </c>
    </row>
    <row r="10" ht="13.5" customHeight="1">
      <c r="A10" s="211" t="s">
        <v>1396</v>
      </c>
      <c r="B10" s="211" t="s">
        <v>1397</v>
      </c>
      <c r="C10" s="211" t="s">
        <v>1398</v>
      </c>
      <c r="D10" s="211" t="s">
        <v>1374</v>
      </c>
      <c r="E10" s="211" t="s">
        <v>818</v>
      </c>
      <c r="F10" s="211" t="s">
        <v>342</v>
      </c>
      <c r="G10" s="211" t="s">
        <v>1399</v>
      </c>
      <c r="H10" s="211" t="s">
        <v>751</v>
      </c>
      <c r="I10" s="211" t="s">
        <v>1400</v>
      </c>
      <c r="J10" s="211" t="s">
        <v>1401</v>
      </c>
    </row>
    <row r="11" ht="13.5" customHeight="1">
      <c r="A11" s="211" t="s">
        <v>1402</v>
      </c>
      <c r="B11" s="211" t="s">
        <v>1403</v>
      </c>
      <c r="C11" s="211" t="s">
        <v>1404</v>
      </c>
      <c r="D11" s="211" t="s">
        <v>1374</v>
      </c>
      <c r="E11" s="211" t="s">
        <v>818</v>
      </c>
      <c r="F11" s="211" t="s">
        <v>342</v>
      </c>
      <c r="G11" s="211" t="s">
        <v>1405</v>
      </c>
      <c r="H11" s="211" t="s">
        <v>1406</v>
      </c>
      <c r="I11" s="211" t="s">
        <v>1407</v>
      </c>
      <c r="J11" s="211" t="s">
        <v>1408</v>
      </c>
    </row>
    <row r="12" ht="13.5" customHeight="1">
      <c r="A12" s="211" t="s">
        <v>1409</v>
      </c>
      <c r="B12" s="211" t="s">
        <v>1410</v>
      </c>
      <c r="C12" s="211" t="s">
        <v>1411</v>
      </c>
      <c r="D12" s="211" t="s">
        <v>1374</v>
      </c>
      <c r="E12" s="211" t="s">
        <v>800</v>
      </c>
      <c r="F12" s="211" t="s">
        <v>1412</v>
      </c>
      <c r="G12" s="211" t="s">
        <v>355</v>
      </c>
      <c r="H12" s="211" t="s">
        <v>1413</v>
      </c>
      <c r="I12" s="211" t="s">
        <v>1414</v>
      </c>
      <c r="J12" s="211" t="s">
        <v>1395</v>
      </c>
    </row>
    <row r="14" ht="15.75" customHeight="1">
      <c r="A14" s="345" t="s">
        <v>1415</v>
      </c>
      <c r="B14" s="345"/>
      <c r="C14" s="345"/>
      <c r="D14" s="345"/>
      <c r="E14" s="345"/>
      <c r="F14" s="345"/>
      <c r="G14" s="345"/>
      <c r="H14" s="345"/>
      <c r="I14" s="345"/>
      <c r="J14" s="345"/>
    </row>
    <row r="15" ht="13.5" customHeight="1">
      <c r="A15" s="210" t="s">
        <v>1362</v>
      </c>
      <c r="B15" s="210" t="s">
        <v>1363</v>
      </c>
      <c r="C15" s="210" t="s">
        <v>1364</v>
      </c>
      <c r="D15" s="210" t="s">
        <v>630</v>
      </c>
      <c r="E15" s="210" t="s">
        <v>1365</v>
      </c>
      <c r="F15" s="210" t="s">
        <v>1366</v>
      </c>
      <c r="G15" s="210" t="s">
        <v>1367</v>
      </c>
      <c r="H15" s="210" t="s">
        <v>1368</v>
      </c>
      <c r="I15" s="210" t="s">
        <v>1369</v>
      </c>
      <c r="J15" s="210" t="s">
        <v>1370</v>
      </c>
    </row>
    <row r="16" ht="13.5" customHeight="1">
      <c r="A16" s="211" t="s">
        <v>1416</v>
      </c>
      <c r="B16" s="211" t="s">
        <v>1417</v>
      </c>
      <c r="C16" s="211" t="s">
        <v>1418</v>
      </c>
      <c r="D16" s="211" t="s">
        <v>1419</v>
      </c>
      <c r="E16" s="211" t="s">
        <v>818</v>
      </c>
      <c r="F16" s="211" t="s">
        <v>342</v>
      </c>
      <c r="G16" s="211" t="s">
        <v>1420</v>
      </c>
      <c r="H16" s="211" t="s">
        <v>751</v>
      </c>
      <c r="I16" s="211" t="s">
        <v>1421</v>
      </c>
      <c r="J16" s="211" t="s">
        <v>1422</v>
      </c>
    </row>
    <row r="17" ht="13.5" customHeight="1">
      <c r="A17" s="211" t="s">
        <v>1423</v>
      </c>
      <c r="B17" s="211" t="s">
        <v>1424</v>
      </c>
      <c r="C17" s="211" t="s">
        <v>1425</v>
      </c>
      <c r="D17" s="211" t="s">
        <v>1419</v>
      </c>
      <c r="E17" s="211" t="s">
        <v>818</v>
      </c>
      <c r="F17" s="211" t="s">
        <v>342</v>
      </c>
      <c r="G17" s="211" t="s">
        <v>1426</v>
      </c>
      <c r="H17" s="211" t="s">
        <v>1376</v>
      </c>
      <c r="I17" s="211" t="s">
        <v>1427</v>
      </c>
      <c r="J17" s="211" t="s">
        <v>1422</v>
      </c>
    </row>
    <row r="18" ht="13.5" customHeight="1">
      <c r="A18" s="211" t="s">
        <v>1428</v>
      </c>
      <c r="B18" s="211" t="s">
        <v>1429</v>
      </c>
      <c r="C18" s="211" t="s">
        <v>1430</v>
      </c>
      <c r="D18" s="211" t="s">
        <v>1419</v>
      </c>
      <c r="E18" s="211" t="s">
        <v>818</v>
      </c>
      <c r="F18" s="211" t="s">
        <v>342</v>
      </c>
      <c r="G18" s="211" t="s">
        <v>1431</v>
      </c>
      <c r="H18" s="211" t="s">
        <v>1420</v>
      </c>
      <c r="I18" s="211" t="s">
        <v>1432</v>
      </c>
      <c r="J18" s="211" t="s">
        <v>1433</v>
      </c>
    </row>
    <row r="19" ht="13.5" customHeight="1">
      <c r="A19" s="211" t="s">
        <v>1434</v>
      </c>
      <c r="B19" s="211" t="s">
        <v>1435</v>
      </c>
      <c r="C19" s="211" t="s">
        <v>1436</v>
      </c>
      <c r="D19" s="211" t="s">
        <v>1419</v>
      </c>
      <c r="E19" s="211" t="s">
        <v>818</v>
      </c>
      <c r="F19" s="211" t="s">
        <v>342</v>
      </c>
      <c r="G19" s="211" t="s">
        <v>1437</v>
      </c>
      <c r="H19" s="211" t="s">
        <v>751</v>
      </c>
      <c r="I19" s="211" t="s">
        <v>1438</v>
      </c>
      <c r="J19" s="211" t="s">
        <v>1422</v>
      </c>
    </row>
    <row r="20" ht="13.5" customHeight="1">
      <c r="A20" s="211" t="s">
        <v>1439</v>
      </c>
      <c r="B20" s="211" t="s">
        <v>1440</v>
      </c>
      <c r="C20" s="211" t="s">
        <v>1441</v>
      </c>
      <c r="D20" s="211" t="s">
        <v>1419</v>
      </c>
      <c r="E20" s="211" t="s">
        <v>818</v>
      </c>
      <c r="F20" s="211" t="s">
        <v>342</v>
      </c>
      <c r="G20" s="211" t="s">
        <v>1442</v>
      </c>
      <c r="H20" s="211" t="s">
        <v>1405</v>
      </c>
      <c r="I20" s="211" t="s">
        <v>1443</v>
      </c>
      <c r="J20" s="211" t="s">
        <v>1444</v>
      </c>
    </row>
    <row r="21" ht="13.5" customHeight="1">
      <c r="A21" s="211" t="s">
        <v>1445</v>
      </c>
      <c r="B21" s="211" t="s">
        <v>256</v>
      </c>
      <c r="C21" s="211" t="s">
        <v>1446</v>
      </c>
      <c r="D21" s="211" t="s">
        <v>1419</v>
      </c>
      <c r="E21" s="211" t="s">
        <v>818</v>
      </c>
      <c r="F21" s="211" t="s">
        <v>342</v>
      </c>
      <c r="G21" s="211" t="s">
        <v>1420</v>
      </c>
      <c r="H21" s="211" t="s">
        <v>751</v>
      </c>
      <c r="I21" s="211" t="s">
        <v>1447</v>
      </c>
      <c r="J21" s="211" t="s">
        <v>1448</v>
      </c>
    </row>
    <row r="22" ht="13.5" customHeight="1">
      <c r="A22" s="211" t="s">
        <v>1449</v>
      </c>
      <c r="B22" s="211" t="s">
        <v>1450</v>
      </c>
      <c r="C22" s="211" t="s">
        <v>1451</v>
      </c>
      <c r="D22" s="211" t="s">
        <v>1419</v>
      </c>
      <c r="E22" s="211" t="s">
        <v>818</v>
      </c>
      <c r="F22" s="211" t="s">
        <v>342</v>
      </c>
      <c r="G22" s="211" t="s">
        <v>1420</v>
      </c>
      <c r="H22" s="211" t="s">
        <v>684</v>
      </c>
      <c r="I22" s="211" t="s">
        <v>1452</v>
      </c>
      <c r="J22" s="211" t="s">
        <v>1422</v>
      </c>
    </row>
    <row r="23" ht="13.5" customHeight="1">
      <c r="A23" s="211" t="s">
        <v>1453</v>
      </c>
      <c r="B23" s="211" t="s">
        <v>1454</v>
      </c>
      <c r="C23" s="211" t="s">
        <v>1455</v>
      </c>
      <c r="D23" s="211" t="s">
        <v>1419</v>
      </c>
      <c r="E23" s="211" t="s">
        <v>818</v>
      </c>
      <c r="F23" s="211" t="s">
        <v>342</v>
      </c>
      <c r="G23" s="211" t="s">
        <v>1456</v>
      </c>
      <c r="H23" s="211" t="s">
        <v>762</v>
      </c>
      <c r="I23" s="211" t="s">
        <v>1457</v>
      </c>
      <c r="J23" s="211" t="s">
        <v>1422</v>
      </c>
    </row>
    <row r="24" ht="13.5" customHeight="1">
      <c r="A24" s="211" t="s">
        <v>1458</v>
      </c>
      <c r="B24" s="211" t="s">
        <v>1459</v>
      </c>
      <c r="C24" s="211" t="s">
        <v>1460</v>
      </c>
      <c r="D24" s="211" t="s">
        <v>1419</v>
      </c>
      <c r="E24" s="211" t="s">
        <v>818</v>
      </c>
      <c r="F24" s="211" t="s">
        <v>342</v>
      </c>
      <c r="G24" s="211" t="s">
        <v>1420</v>
      </c>
      <c r="H24" s="211" t="s">
        <v>748</v>
      </c>
      <c r="I24" s="211" t="s">
        <v>1461</v>
      </c>
      <c r="J24" s="211" t="s">
        <v>1448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907DC7C-3298-2583-3DA8-4B1F16071FE8}" mc:Ignorable="x14ac xr xr2 xr3">
  <dimension ref="A1:GR50000"/>
  <sheetViews>
    <sheetView showGridLines="0" topLeftCell="A12" workbookViewId="0">
      <selection activeCell="A1" sqref="A1"/>
    </sheetView>
  </sheetViews>
  <sheetFormatPr defaultRowHeight="15" defaultColWidth="7.75390625" customHeight="1"/>
  <cols>
    <col min="1" max="1" width="22.50390625" customWidth="1"/>
    <col min="2" max="2" width="25.00390625" customWidth="1"/>
    <col min="3" max="3" width="15.00390625" customWidth="1"/>
    <col min="4" max="4" width="22.50390625" customWidth="1"/>
    <col min="5" max="7" width="12.50390625" customWidth="1"/>
  </cols>
  <sheetData>
    <row r="1" ht="15" customHeight="1">
      <c r="A1" s="340" t="s">
        <v>1462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</row>
    <row r="2" ht="15" customHeight="1">
      <c r="A2" s="203" t="s">
        <v>1463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</row>
    <row r="4" ht="15" customHeight="1">
      <c r="A4" s="209" t="s">
        <v>1464</v>
      </c>
      <c r="B4" s="209"/>
      <c r="C4" s="209"/>
      <c r="D4" s="209"/>
    </row>
    <row r="5" ht="15" customHeight="1">
      <c r="A5" s="210" t="s">
        <v>1465</v>
      </c>
      <c r="B5" s="210" t="s">
        <v>433</v>
      </c>
      <c r="C5" s="210" t="s">
        <v>1466</v>
      </c>
      <c r="D5" s="210" t="s">
        <v>1467</v>
      </c>
    </row>
    <row r="6" ht="15" customHeight="1">
      <c r="A6" s="211" t="s">
        <v>1468</v>
      </c>
      <c r="B6" s="211" t="s">
        <v>1469</v>
      </c>
      <c r="C6" s="211" t="s">
        <v>1470</v>
      </c>
      <c r="D6" s="211" t="s">
        <v>1471</v>
      </c>
    </row>
    <row r="7" ht="15" customHeight="1">
      <c r="A7" s="211" t="s">
        <v>1472</v>
      </c>
      <c r="B7" s="211" t="s">
        <v>1473</v>
      </c>
      <c r="C7" s="211" t="s">
        <v>717</v>
      </c>
      <c r="D7" s="211" t="s">
        <v>1474</v>
      </c>
    </row>
    <row r="8" ht="15" customHeight="1">
      <c r="A8" s="211" t="s">
        <v>751</v>
      </c>
      <c r="B8" s="211" t="s">
        <v>1475</v>
      </c>
      <c r="C8" s="211" t="s">
        <v>1476</v>
      </c>
      <c r="D8" s="211" t="s">
        <v>1477</v>
      </c>
    </row>
    <row r="9" ht="15" customHeight="1">
      <c r="A9" s="211" t="s">
        <v>1478</v>
      </c>
      <c r="B9" s="211" t="s">
        <v>1479</v>
      </c>
      <c r="C9" s="211" t="s">
        <v>1480</v>
      </c>
      <c r="D9" s="211" t="s">
        <v>1481</v>
      </c>
    </row>
    <row r="10" ht="15" customHeight="1">
      <c r="A10" s="211" t="s">
        <v>1420</v>
      </c>
      <c r="B10" s="211" t="s">
        <v>1482</v>
      </c>
      <c r="C10" s="211" t="s">
        <v>1483</v>
      </c>
      <c r="D10" s="211" t="s">
        <v>1484</v>
      </c>
    </row>
    <row r="11" ht="15" customHeight="1">
      <c r="A11" s="211" t="s">
        <v>1437</v>
      </c>
      <c r="B11" s="211" t="s">
        <v>1485</v>
      </c>
      <c r="C11" s="211" t="s">
        <v>1480</v>
      </c>
      <c r="D11" s="211" t="s">
        <v>1486</v>
      </c>
    </row>
    <row r="12" ht="15" customHeight="1">
      <c r="A12" s="211" t="s">
        <v>1487</v>
      </c>
      <c r="B12" s="211" t="s">
        <v>1488</v>
      </c>
      <c r="C12" s="211" t="s">
        <v>1483</v>
      </c>
      <c r="D12" s="211" t="s">
        <v>1489</v>
      </c>
    </row>
    <row r="13" ht="15" customHeight="1">
      <c r="A13" s="211" t="s">
        <v>1490</v>
      </c>
      <c r="B13" s="211" t="s">
        <v>1491</v>
      </c>
      <c r="C13" s="211" t="s">
        <v>1492</v>
      </c>
      <c r="D13" s="211" t="s">
        <v>1493</v>
      </c>
    </row>
    <row r="14" ht="15" customHeight="1">
      <c r="A14" s="211" t="s">
        <v>1494</v>
      </c>
      <c r="B14" s="211" t="s">
        <v>1495</v>
      </c>
      <c r="C14" s="211" t="s">
        <v>1492</v>
      </c>
      <c r="D14" s="211" t="s">
        <v>1496</v>
      </c>
    </row>
    <row r="15" ht="15" customHeight="1">
      <c r="A15" s="211" t="s">
        <v>1497</v>
      </c>
      <c r="B15" s="211" t="s">
        <v>1498</v>
      </c>
      <c r="C15" s="211" t="s">
        <v>1480</v>
      </c>
      <c r="D15" s="211" t="s">
        <v>1499</v>
      </c>
    </row>
    <row r="16" ht="15" customHeight="1">
      <c r="A16" s="211" t="s">
        <v>1500</v>
      </c>
      <c r="B16" s="211" t="s">
        <v>1501</v>
      </c>
      <c r="C16" s="211" t="s">
        <v>1502</v>
      </c>
      <c r="D16" s="211" t="s">
        <v>1503</v>
      </c>
    </row>
    <row r="17" ht="15" customHeight="1">
      <c r="A17" s="211" t="s">
        <v>1504</v>
      </c>
      <c r="B17" s="211" t="s">
        <v>1505</v>
      </c>
      <c r="C17" s="211" t="s">
        <v>1492</v>
      </c>
      <c r="D17" s="211" t="s">
        <v>1506</v>
      </c>
    </row>
    <row r="18" ht="15" customHeight="1">
      <c r="A18" s="211" t="s">
        <v>1507</v>
      </c>
      <c r="B18" s="211" t="s">
        <v>1508</v>
      </c>
      <c r="C18" s="211" t="s">
        <v>1492</v>
      </c>
      <c r="D18" s="211" t="s">
        <v>1509</v>
      </c>
    </row>
    <row r="20" ht="15" customHeight="1">
      <c r="A20" s="209" t="s">
        <v>1510</v>
      </c>
      <c r="B20" s="209"/>
      <c r="C20" s="209"/>
      <c r="D20" s="209"/>
      <c r="E20" s="209"/>
      <c r="F20" s="209"/>
      <c r="G20" s="209"/>
      <c r="H20" s="209"/>
    </row>
    <row r="21" ht="15" customHeight="1">
      <c r="A21" s="210" t="s">
        <v>198</v>
      </c>
      <c r="B21" s="210" t="s">
        <v>1511</v>
      </c>
      <c r="C21" s="210" t="s">
        <v>1512</v>
      </c>
      <c r="D21" s="210" t="s">
        <v>745</v>
      </c>
      <c r="E21" s="210" t="s">
        <v>1513</v>
      </c>
      <c r="F21" s="210" t="s">
        <v>1514</v>
      </c>
      <c r="G21" s="210" t="s">
        <v>1515</v>
      </c>
    </row>
    <row r="22" ht="15" customHeight="1">
      <c r="A22" s="211" t="s">
        <v>690</v>
      </c>
      <c r="B22" s="211" t="s">
        <v>691</v>
      </c>
      <c r="C22" s="211" t="s">
        <v>1516</v>
      </c>
      <c r="D22" s="211" t="s">
        <v>1517</v>
      </c>
      <c r="E22" s="211" t="s">
        <v>1518</v>
      </c>
      <c r="F22" s="211" t="s">
        <v>1519</v>
      </c>
      <c r="G22" s="211" t="s">
        <v>818</v>
      </c>
    </row>
    <row r="23" ht="15" customHeight="1">
      <c r="A23" s="211" t="s">
        <v>1520</v>
      </c>
      <c r="B23" s="211" t="s">
        <v>691</v>
      </c>
      <c r="C23" s="211" t="s">
        <v>1521</v>
      </c>
      <c r="D23" s="211" t="s">
        <v>1522</v>
      </c>
      <c r="E23" s="211" t="s">
        <v>1521</v>
      </c>
      <c r="F23" s="211" t="s">
        <v>1523</v>
      </c>
      <c r="G23" s="211" t="s">
        <v>818</v>
      </c>
    </row>
    <row r="24" ht="15" customHeight="1">
      <c r="A24" s="211" t="s">
        <v>1524</v>
      </c>
      <c r="B24" s="211" t="s">
        <v>707</v>
      </c>
      <c r="C24" s="211" t="s">
        <v>1525</v>
      </c>
      <c r="D24" s="211" t="s">
        <v>1526</v>
      </c>
      <c r="E24" s="211" t="s">
        <v>1518</v>
      </c>
      <c r="F24" s="211" t="s">
        <v>1527</v>
      </c>
      <c r="G24" s="211" t="s">
        <v>818</v>
      </c>
    </row>
    <row r="25" ht="15" customHeight="1">
      <c r="A25" s="211" t="s">
        <v>1528</v>
      </c>
      <c r="B25" s="211" t="s">
        <v>678</v>
      </c>
      <c r="C25" s="211" t="s">
        <v>1516</v>
      </c>
      <c r="D25" s="211" t="s">
        <v>1529</v>
      </c>
      <c r="E25" s="211" t="s">
        <v>1518</v>
      </c>
      <c r="F25" s="211" t="s">
        <v>1530</v>
      </c>
      <c r="G25" s="211" t="s">
        <v>1531</v>
      </c>
    </row>
    <row r="26" ht="15" customHeight="1">
      <c r="A26" s="211" t="s">
        <v>1532</v>
      </c>
      <c r="B26" s="211" t="s">
        <v>678</v>
      </c>
      <c r="C26" s="211" t="s">
        <v>1533</v>
      </c>
      <c r="D26" s="211" t="s">
        <v>1534</v>
      </c>
      <c r="E26" s="211" t="s">
        <v>1518</v>
      </c>
      <c r="F26" s="211" t="s">
        <v>1530</v>
      </c>
      <c r="G26" s="211" t="s">
        <v>1535</v>
      </c>
    </row>
    <row r="27" ht="15" customHeight="1">
      <c r="A27" s="211" t="s">
        <v>1536</v>
      </c>
      <c r="B27" s="211" t="s">
        <v>676</v>
      </c>
      <c r="C27" s="211" t="s">
        <v>1516</v>
      </c>
      <c r="D27" s="211" t="s">
        <v>1537</v>
      </c>
      <c r="E27" s="211" t="s">
        <v>1538</v>
      </c>
      <c r="F27" s="211" t="s">
        <v>1539</v>
      </c>
      <c r="G27" s="211" t="s">
        <v>1540</v>
      </c>
    </row>
    <row r="28" ht="15" customHeight="1">
      <c r="A28" s="211" t="s">
        <v>1541</v>
      </c>
      <c r="B28" s="211" t="s">
        <v>678</v>
      </c>
      <c r="C28" s="211" t="s">
        <v>1542</v>
      </c>
      <c r="D28" s="211" t="s">
        <v>1543</v>
      </c>
      <c r="E28" s="211" t="s">
        <v>1544</v>
      </c>
      <c r="F28" s="211" t="s">
        <v>1545</v>
      </c>
      <c r="G28" s="211" t="s">
        <v>818</v>
      </c>
    </row>
    <row r="29" ht="15" customHeight="1">
      <c r="A29" s="211" t="s">
        <v>1546</v>
      </c>
      <c r="B29" s="211" t="s">
        <v>676</v>
      </c>
      <c r="C29" s="211" t="s">
        <v>1516</v>
      </c>
      <c r="D29" s="211" t="s">
        <v>1547</v>
      </c>
      <c r="E29" s="211" t="s">
        <v>1548</v>
      </c>
      <c r="F29" s="211" t="s">
        <v>1549</v>
      </c>
      <c r="G29" s="211" t="s">
        <v>1550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84D0A2F-3B08-A63A-2D38-11101E284898}" mc:Ignorable="x14ac xr xr2 xr3">
  <dimension ref="A1:GR50000"/>
  <sheetViews>
    <sheetView showGridLines="0" topLeftCell="A15" workbookViewId="0">
      <selection activeCell="A1" sqref="A1"/>
    </sheetView>
  </sheetViews>
  <sheetFormatPr defaultRowHeight="15" defaultColWidth="7.75390625" customHeight="1"/>
  <cols>
    <col min="1" max="1" width="20.00390625" customWidth="1"/>
    <col min="2" max="6" width="10.00390625" customWidth="1"/>
  </cols>
  <sheetData>
    <row r="1" ht="15" customHeight="1">
      <c r="A1" s="340" t="s">
        <v>1551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</row>
    <row r="2" ht="15" customHeight="1">
      <c r="A2" t="s">
        <v>1552</v>
      </c>
      <c r="B2" s="346">
        <f>TODAY()</f>
        <v>46034</v>
      </c>
      <c r="D2" t="s">
        <v>1553</v>
      </c>
      <c r="E2" s="347" t="s">
        <v>1554</v>
      </c>
    </row>
    <row r="4" ht="15" customHeight="1">
      <c r="A4" s="222" t="s">
        <v>1555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</row>
    <row r="5" ht="15" customHeight="1">
      <c r="B5" s="348" t="s">
        <v>210</v>
      </c>
      <c r="C5" s="348"/>
      <c r="D5" s="348" t="s">
        <v>1556</v>
      </c>
      <c r="E5" s="348"/>
      <c r="F5" s="348" t="s">
        <v>1557</v>
      </c>
      <c r="G5" s="348"/>
      <c r="H5" s="348" t="s">
        <v>1558</v>
      </c>
      <c r="I5" s="348"/>
      <c r="J5" s="348" t="s">
        <v>28</v>
      </c>
      <c r="K5" s="348"/>
      <c r="L5" s="348" t="s">
        <v>1559</v>
      </c>
      <c r="M5" s="348"/>
    </row>
    <row r="6" ht="15" customHeight="1">
      <c r="B6" s="349" t="s">
        <v>1560</v>
      </c>
      <c r="C6" s="349"/>
      <c r="D6" s="349" t="s">
        <v>1561</v>
      </c>
      <c r="E6" s="349"/>
      <c r="F6" s="349" t="s">
        <v>1562</v>
      </c>
      <c r="G6" s="349"/>
      <c r="H6" s="349" t="s">
        <v>1563</v>
      </c>
      <c r="I6" s="349"/>
      <c r="J6" s="349" t="s">
        <v>1564</v>
      </c>
      <c r="K6" s="349"/>
      <c r="L6" s="349" t="s">
        <v>1565</v>
      </c>
      <c r="M6" s="349"/>
    </row>
    <row r="8" ht="15" customHeight="1">
      <c r="A8" s="209" t="s">
        <v>1566</v>
      </c>
      <c r="B8" s="209"/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</row>
    <row r="9" ht="15" customHeight="1">
      <c r="A9" s="341" t="s">
        <v>19</v>
      </c>
      <c r="B9" s="341" t="s">
        <v>533</v>
      </c>
      <c r="C9" s="341" t="s">
        <v>546</v>
      </c>
      <c r="D9" s="341" t="s">
        <v>547</v>
      </c>
      <c r="E9" s="341" t="s">
        <v>657</v>
      </c>
      <c r="F9" s="341" t="s">
        <v>22</v>
      </c>
    </row>
    <row r="10" ht="15" customHeight="1">
      <c r="A10" s="350" t="s">
        <v>549</v>
      </c>
      <c r="B10" s="351">
        <v>0</v>
      </c>
      <c r="C10" s="351">
        <v>0</v>
      </c>
      <c r="D10" s="351">
        <v>0</v>
      </c>
      <c r="E10" s="352" t="s">
        <v>342</v>
      </c>
      <c r="F10" s="352" t="s">
        <v>342</v>
      </c>
    </row>
    <row r="11" ht="15" customHeight="1">
      <c r="A11" s="350" t="s">
        <v>1567</v>
      </c>
      <c r="B11" s="351">
        <v>0</v>
      </c>
      <c r="C11" s="351">
        <v>0</v>
      </c>
      <c r="D11" s="351">
        <v>0</v>
      </c>
      <c r="E11" s="352" t="s">
        <v>342</v>
      </c>
      <c r="F11" s="352" t="s">
        <v>342</v>
      </c>
    </row>
    <row r="12" ht="15" customHeight="1">
      <c r="A12" s="350" t="s">
        <v>551</v>
      </c>
      <c r="B12" s="351">
        <v>0</v>
      </c>
      <c r="C12" s="351">
        <v>0</v>
      </c>
      <c r="D12" s="351">
        <v>0</v>
      </c>
      <c r="E12" s="352" t="s">
        <v>342</v>
      </c>
      <c r="F12" s="352" t="s">
        <v>342</v>
      </c>
    </row>
    <row r="13" ht="15" customHeight="1">
      <c r="A13" s="350" t="s">
        <v>1568</v>
      </c>
      <c r="B13" s="351">
        <v>0</v>
      </c>
      <c r="C13" s="351">
        <v>0</v>
      </c>
      <c r="D13" s="351">
        <v>0</v>
      </c>
      <c r="E13" s="352" t="s">
        <v>342</v>
      </c>
      <c r="F13" s="352" t="s">
        <v>342</v>
      </c>
    </row>
    <row r="14" ht="15" customHeight="1">
      <c r="A14" s="350" t="s">
        <v>1569</v>
      </c>
      <c r="B14" s="351">
        <v>0</v>
      </c>
      <c r="C14" s="351">
        <v>0</v>
      </c>
      <c r="D14" s="351">
        <v>0</v>
      </c>
      <c r="E14" s="352" t="s">
        <v>342</v>
      </c>
      <c r="F14" s="352" t="s">
        <v>342</v>
      </c>
    </row>
    <row r="15" ht="15" customHeight="1">
      <c r="A15" s="350" t="s">
        <v>554</v>
      </c>
      <c r="B15" s="351">
        <v>0</v>
      </c>
      <c r="C15" s="351">
        <v>0</v>
      </c>
      <c r="D15" s="351">
        <v>0</v>
      </c>
      <c r="E15" s="352" t="s">
        <v>342</v>
      </c>
      <c r="F15" s="352" t="s">
        <v>342</v>
      </c>
    </row>
    <row r="16" ht="15" customHeight="1">
      <c r="A16" s="350" t="s">
        <v>1570</v>
      </c>
      <c r="B16" s="351">
        <v>0</v>
      </c>
      <c r="C16" s="351">
        <v>0</v>
      </c>
      <c r="D16" s="351">
        <v>0</v>
      </c>
      <c r="E16" s="352" t="s">
        <v>342</v>
      </c>
      <c r="F16" s="352" t="s">
        <v>342</v>
      </c>
    </row>
    <row r="18" ht="15" customHeight="1">
      <c r="A18" s="209" t="s">
        <v>1571</v>
      </c>
      <c r="B18" s="209"/>
      <c r="C18" s="209"/>
      <c r="D18" s="209"/>
      <c r="E18" s="209"/>
      <c r="F18" s="209"/>
    </row>
    <row r="19" ht="15" customHeight="1">
      <c r="A19" s="350" t="s">
        <v>1572</v>
      </c>
      <c r="B19" s="353" t="s">
        <v>342</v>
      </c>
      <c r="C19" s="353" t="s">
        <v>342</v>
      </c>
      <c r="D19" s="353" t="s">
        <v>342</v>
      </c>
    </row>
    <row r="20" ht="15" customHeight="1">
      <c r="A20" s="350" t="s">
        <v>1573</v>
      </c>
      <c r="B20" s="353" t="s">
        <v>342</v>
      </c>
      <c r="C20" s="353" t="s">
        <v>342</v>
      </c>
      <c r="D20" s="353" t="s">
        <v>342</v>
      </c>
    </row>
    <row r="21" ht="15" customHeight="1">
      <c r="A21" s="350" t="s">
        <v>1574</v>
      </c>
      <c r="B21" s="353" t="s">
        <v>342</v>
      </c>
      <c r="C21" s="353" t="s">
        <v>342</v>
      </c>
      <c r="D21" s="353" t="s">
        <v>342</v>
      </c>
    </row>
    <row r="22" ht="15" customHeight="1">
      <c r="A22" s="350" t="s">
        <v>1575</v>
      </c>
      <c r="B22" s="353" t="s">
        <v>342</v>
      </c>
      <c r="C22" s="353" t="s">
        <v>342</v>
      </c>
      <c r="D22" s="353" t="s">
        <v>342</v>
      </c>
    </row>
    <row r="24" ht="15" customHeight="1">
      <c r="A24" s="209" t="s">
        <v>1576</v>
      </c>
      <c r="B24" s="209"/>
      <c r="C24" s="209"/>
      <c r="D24" s="209"/>
      <c r="E24" s="209"/>
      <c r="F24" s="209"/>
    </row>
    <row r="25" ht="15" customHeight="1">
      <c r="A25" s="350" t="s">
        <v>1577</v>
      </c>
      <c r="B25" s="351">
        <v>0</v>
      </c>
    </row>
    <row r="26" ht="15" customHeight="1">
      <c r="A26" s="350" t="s">
        <v>1578</v>
      </c>
      <c r="B26" s="351">
        <v>0</v>
      </c>
    </row>
    <row r="27" ht="15" customHeight="1">
      <c r="A27" s="350" t="s">
        <v>1579</v>
      </c>
      <c r="B27" s="351">
        <v>0</v>
      </c>
    </row>
    <row r="28" ht="15" customHeight="1">
      <c r="A28" s="350" t="s">
        <v>1580</v>
      </c>
      <c r="B28" s="351">
        <v>0</v>
      </c>
    </row>
    <row r="29" ht="15" customHeight="1">
      <c r="A29" s="350" t="s">
        <v>1581</v>
      </c>
      <c r="B29" s="351">
        <v>0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9604E68-C088-CED2-6728-177C789BCFA8}" mc:Ignorable="x14ac xr xr2 xr3">
  <dimension ref="A1:GR50000"/>
  <sheetViews>
    <sheetView showGridLines="0" topLeftCell="A1" workbookViewId="0">
      <selection activeCell="A1" sqref="A1"/>
    </sheetView>
  </sheetViews>
  <sheetFormatPr defaultRowHeight="15" defaultColWidth="7.75390625" customHeight="1"/>
  <cols>
    <col min="1" max="1" width="17.50390625" customWidth="1"/>
    <col min="2" max="2" width="12.625" customWidth="1"/>
    <col min="3" max="7" width="8.75390625" customWidth="1"/>
    <col min="8" max="8" width="9.25390625" customWidth="1"/>
    <col min="9" max="10" width="8.75390625" customWidth="1"/>
  </cols>
  <sheetData>
    <row r="1" ht="19.5" customHeight="1">
      <c r="A1" s="340" t="s">
        <v>1582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54" t="str">
        <f>HYPERLINK("#Alert_Dashboard!B2","← Back to Alerts")</f>
        <v>← Back to Alerts</v>
      </c>
    </row>
    <row r="2" ht="14.25" customHeight="1">
      <c r="A2" s="355" t="s">
        <v>1584</v>
      </c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5"/>
    </row>
    <row r="4" ht="15.75" customHeight="1">
      <c r="A4" s="222" t="s">
        <v>1585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</row>
    <row r="5" ht="13.5" customHeight="1">
      <c r="B5" s="356" t="s">
        <v>160</v>
      </c>
      <c r="C5" s="356" t="s">
        <v>68</v>
      </c>
      <c r="D5" s="356" t="s">
        <v>1586</v>
      </c>
      <c r="E5" s="356" t="s">
        <v>70</v>
      </c>
      <c r="F5" s="356" t="s">
        <v>1587</v>
      </c>
      <c r="G5" s="356" t="s">
        <v>74</v>
      </c>
      <c r="H5" s="356" t="s">
        <v>548</v>
      </c>
    </row>
    <row r="6" ht="21.75" customHeight="1">
      <c r="B6" s="357">
        <f t="shared" si="0" ref="B6:G6">SUM(B10:B16)</f>
        <v>24000</v>
      </c>
      <c r="C6" s="358">
        <f t="shared" si="0"/>
        <v>1151</v>
      </c>
      <c r="D6" s="357">
        <f t="shared" si="1" ref="D6:D16">IF(C6=0,0,B6/C6)</f>
        <v>20.8514335360556</v>
      </c>
      <c r="E6" s="358">
        <f t="shared" si="0"/>
        <v>401</v>
      </c>
      <c r="F6" s="357">
        <f t="shared" si="2" ref="F6:F16">IF(E6=0,0,B6/E6)</f>
        <v>59.8503740648379</v>
      </c>
      <c r="G6" s="358">
        <f t="shared" si="0"/>
        <v>104</v>
      </c>
      <c r="H6" s="357">
        <f t="shared" si="3" ref="H6:H16">IF(G6=0,0,B6/G6)</f>
        <v>230.769230769231</v>
      </c>
    </row>
    <row r="8" ht="15.75" customHeight="1">
      <c r="A8" s="209" t="s">
        <v>1588</v>
      </c>
      <c r="B8" s="209"/>
      <c r="C8" s="209"/>
      <c r="D8" s="209"/>
      <c r="E8" s="209"/>
      <c r="F8" s="209"/>
      <c r="G8" s="209"/>
      <c r="H8" s="209"/>
      <c r="I8" s="209"/>
      <c r="J8" s="209"/>
      <c r="K8" s="209"/>
      <c r="L8" s="209"/>
    </row>
    <row r="9" ht="13.5" customHeight="1">
      <c r="A9" s="210" t="s">
        <v>66</v>
      </c>
      <c r="B9" s="210" t="s">
        <v>1589</v>
      </c>
      <c r="C9" s="210" t="s">
        <v>68</v>
      </c>
      <c r="D9" s="210" t="s">
        <v>1586</v>
      </c>
      <c r="E9" s="210" t="s">
        <v>70</v>
      </c>
      <c r="F9" s="210" t="s">
        <v>1587</v>
      </c>
      <c r="G9" s="210" t="s">
        <v>74</v>
      </c>
      <c r="H9" s="210" t="s">
        <v>548</v>
      </c>
      <c r="I9" s="210" t="s">
        <v>23</v>
      </c>
      <c r="J9" s="210" t="s">
        <v>490</v>
      </c>
    </row>
    <row r="10" ht="13.5" customHeight="1">
      <c r="A10" s="211" t="s">
        <v>553</v>
      </c>
      <c r="B10" s="214">
        <v>8500</v>
      </c>
      <c r="C10" s="212">
        <v>245</v>
      </c>
      <c r="D10" s="214">
        <f t="shared" si="1"/>
        <v>34.6938775510204</v>
      </c>
      <c r="E10" s="212">
        <v>78</v>
      </c>
      <c r="F10" s="214">
        <f t="shared" si="2"/>
        <v>108.974358974359</v>
      </c>
      <c r="G10" s="212">
        <v>18</v>
      </c>
      <c r="H10" s="214">
        <f t="shared" si="3"/>
        <v>472.222222222222</v>
      </c>
      <c r="I10" s="213" t="str">
        <f t="shared" si="4" ref="I10:I16">IF(H10&gt;$F$18,"PAUSE",IF(H10&gt;$F$18*0.8,"WATCH","OK"))</f>
        <v>OK</v>
      </c>
      <c r="J10" s="213" t="str">
        <f t="shared" si="5" ref="J10:J16">IF(I10="PAUSE","Pause Channel",IF(I10="WATCH","Monitor","—"))</f>
        <v>—</v>
      </c>
    </row>
    <row r="11" ht="13.5" customHeight="1">
      <c r="A11" s="211" t="s">
        <v>1591</v>
      </c>
      <c r="B11" s="214">
        <v>6200</v>
      </c>
      <c r="C11" s="212">
        <v>198</v>
      </c>
      <c r="D11" s="214">
        <f t="shared" si="1"/>
        <v>31.3131313131313</v>
      </c>
      <c r="E11" s="212">
        <v>61</v>
      </c>
      <c r="F11" s="214">
        <f t="shared" si="2"/>
        <v>101.639344262295</v>
      </c>
      <c r="G11" s="212">
        <v>14</v>
      </c>
      <c r="H11" s="214">
        <f t="shared" si="3"/>
        <v>442.857142857143</v>
      </c>
      <c r="I11" s="213" t="str">
        <f t="shared" si="4"/>
        <v>OK</v>
      </c>
      <c r="J11" s="213" t="str">
        <f t="shared" si="5"/>
        <v>—</v>
      </c>
    </row>
    <row r="12" ht="13.5" customHeight="1">
      <c r="A12" s="211" t="s">
        <v>1592</v>
      </c>
      <c r="B12" s="214">
        <v>4800</v>
      </c>
      <c r="C12" s="212">
        <v>156</v>
      </c>
      <c r="D12" s="214">
        <f t="shared" si="1"/>
        <v>30.7692307692308</v>
      </c>
      <c r="E12" s="212">
        <v>52</v>
      </c>
      <c r="F12" s="214">
        <f t="shared" si="2"/>
        <v>92.3076923076923</v>
      </c>
      <c r="G12" s="212">
        <v>11</v>
      </c>
      <c r="H12" s="214">
        <f t="shared" si="3"/>
        <v>436.363636363636</v>
      </c>
      <c r="I12" s="213" t="str">
        <f t="shared" si="4"/>
        <v>OK</v>
      </c>
      <c r="J12" s="213" t="str">
        <f t="shared" si="5"/>
        <v>—</v>
      </c>
    </row>
    <row r="13" ht="13.5" customHeight="1">
      <c r="A13" s="211" t="s">
        <v>1593</v>
      </c>
      <c r="B13" s="214">
        <v>3200</v>
      </c>
      <c r="C13" s="212">
        <v>134</v>
      </c>
      <c r="D13" s="214">
        <f t="shared" si="1"/>
        <v>23.8805970149254</v>
      </c>
      <c r="E13" s="212">
        <v>38</v>
      </c>
      <c r="F13" s="214">
        <f t="shared" si="2"/>
        <v>84.2105263157895</v>
      </c>
      <c r="G13" s="212">
        <v>7</v>
      </c>
      <c r="H13" s="214">
        <f t="shared" si="3"/>
        <v>457.142857142857</v>
      </c>
      <c r="I13" s="213" t="str">
        <f t="shared" si="4"/>
        <v>OK</v>
      </c>
      <c r="J13" s="213" t="str">
        <f t="shared" si="5"/>
        <v>—</v>
      </c>
    </row>
    <row r="14" ht="13.5" customHeight="1">
      <c r="A14" s="211" t="s">
        <v>550</v>
      </c>
      <c r="B14" s="214">
        <v>0</v>
      </c>
      <c r="C14" s="212">
        <v>287</v>
      </c>
      <c r="D14" s="214">
        <f t="shared" si="1"/>
        <v>0</v>
      </c>
      <c r="E14" s="212">
        <v>112</v>
      </c>
      <c r="F14" s="214">
        <f t="shared" si="2"/>
        <v>0</v>
      </c>
      <c r="G14" s="212">
        <v>32</v>
      </c>
      <c r="H14" s="214">
        <f t="shared" si="3"/>
        <v>0</v>
      </c>
      <c r="I14" s="213" t="str">
        <f t="shared" si="4"/>
        <v>OK</v>
      </c>
      <c r="J14" s="213" t="str">
        <f t="shared" si="5"/>
        <v>—</v>
      </c>
    </row>
    <row r="15" ht="13.5" customHeight="1">
      <c r="A15" s="211" t="s">
        <v>76</v>
      </c>
      <c r="B15" s="214">
        <v>500</v>
      </c>
      <c r="C15" s="212">
        <v>89</v>
      </c>
      <c r="D15" s="214">
        <f t="shared" si="1"/>
        <v>5.61797752808989</v>
      </c>
      <c r="E15" s="212">
        <v>45</v>
      </c>
      <c r="F15" s="214">
        <f t="shared" si="2"/>
        <v>11.1111111111111</v>
      </c>
      <c r="G15" s="212">
        <v>19</v>
      </c>
      <c r="H15" s="214">
        <f t="shared" si="3"/>
        <v>26.3157894736842</v>
      </c>
      <c r="I15" s="213" t="str">
        <f t="shared" si="4"/>
        <v>OK</v>
      </c>
      <c r="J15" s="213" t="str">
        <f t="shared" si="5"/>
        <v>—</v>
      </c>
    </row>
    <row r="16" ht="13.5" customHeight="1">
      <c r="A16" s="211" t="s">
        <v>1594</v>
      </c>
      <c r="B16" s="214">
        <v>800</v>
      </c>
      <c r="C16" s="212">
        <v>42</v>
      </c>
      <c r="D16" s="214">
        <f t="shared" si="1"/>
        <v>19.047619047619</v>
      </c>
      <c r="E16" s="212">
        <v>15</v>
      </c>
      <c r="F16" s="214">
        <f t="shared" si="2"/>
        <v>53.3333333333333</v>
      </c>
      <c r="G16" s="212">
        <v>3</v>
      </c>
      <c r="H16" s="214">
        <f t="shared" si="3"/>
        <v>266.666666666667</v>
      </c>
      <c r="I16" s="213" t="str">
        <f t="shared" si="4"/>
        <v>OK</v>
      </c>
      <c r="J16" s="213" t="str">
        <f t="shared" si="5"/>
        <v>—</v>
      </c>
    </row>
    <row r="18" ht="15.75" customHeight="1">
      <c r="A18" s="222" t="s">
        <v>1595</v>
      </c>
      <c r="E18" s="359" t="s">
        <v>1596</v>
      </c>
      <c r="F18" s="360">
        <v>1814</v>
      </c>
    </row>
    <row r="19" ht="13.5" customHeight="1">
      <c r="A19" s="210" t="s">
        <v>19</v>
      </c>
      <c r="B19" s="210" t="s">
        <v>517</v>
      </c>
      <c r="C19" s="210" t="s">
        <v>1597</v>
      </c>
    </row>
    <row r="20" ht="13.5" customHeight="1">
      <c r="A20" s="211" t="s">
        <v>1598</v>
      </c>
      <c r="B20" s="214">
        <v>1814</v>
      </c>
      <c r="C20" s="361" t="s">
        <v>1599</v>
      </c>
    </row>
    <row r="21" ht="13.5" customHeight="1">
      <c r="A21" s="211" t="s">
        <v>1600</v>
      </c>
      <c r="B21" s="212">
        <v>12</v>
      </c>
      <c r="C21" s="361" t="s">
        <v>1601</v>
      </c>
    </row>
    <row r="22" ht="13.5" customHeight="1">
      <c r="A22" s="211" t="s">
        <v>1602</v>
      </c>
      <c r="B22" s="215">
        <v>0.697</v>
      </c>
      <c r="C22" s="361" t="s">
        <v>1603</v>
      </c>
    </row>
    <row r="23" ht="13.5" customHeight="1">
      <c r="A23" s="211" t="s">
        <v>247</v>
      </c>
      <c r="B23" s="214" cm="1">
        <f t="array" ref="B23">H6</f>
        <v>230.769230769231</v>
      </c>
      <c r="C23" s="361" t="s">
        <v>1604</v>
      </c>
    </row>
    <row r="24" ht="15" customHeight="1">
      <c r="A24" s="211"/>
      <c r="B24" s="213"/>
      <c r="C24" s="361"/>
    </row>
    <row r="25" ht="13.5" customHeight="1">
      <c r="A25" s="211" t="s">
        <v>1605</v>
      </c>
      <c r="B25" s="362">
        <f>B23/B20</f>
        <v>0.12721567297091</v>
      </c>
      <c r="C25" s="361" t="s">
        <v>1606</v>
      </c>
    </row>
    <row r="26" ht="13.5" customHeight="1">
      <c r="A26" s="211" t="s">
        <v>1607</v>
      </c>
      <c r="B26" s="362">
        <f>B21/(1-B22)</f>
        <v>39.6039603960396</v>
      </c>
      <c r="C26" s="361" t="s">
        <v>1608</v>
      </c>
    </row>
    <row r="27" ht="13.5" customHeight="1">
      <c r="A27" s="211" t="s">
        <v>1609</v>
      </c>
      <c r="B27" s="363">
        <f>B20*B26</f>
        <v>71841.5841584158</v>
      </c>
      <c r="C27" s="361" t="s">
        <v>1610</v>
      </c>
    </row>
    <row r="28" ht="13.5" customHeight="1">
      <c r="A28" s="211" t="s">
        <v>521</v>
      </c>
      <c r="B28" s="364">
        <f>B27/B23</f>
        <v>311.313531353135</v>
      </c>
      <c r="C28" s="361" t="s">
        <v>1611</v>
      </c>
    </row>
  </sheetData>
  <hyperlinks>
    <hyperlink ref="L1" r:id="rId1" display="← Back to Alerts"/>
  </hyperlink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318BA72-18DD-AB7F-B9F9-9BB6E0003188}" mc:Ignorable="x14ac xr xr2 xr3">
  <dimension ref="A1:GR50000"/>
  <sheetViews>
    <sheetView showGridLines="0" topLeftCell="A1" workbookViewId="0">
      <selection activeCell="A1" sqref="A1"/>
    </sheetView>
  </sheetViews>
  <sheetFormatPr defaultRowHeight="15" defaultColWidth="7.75390625" customHeight="1"/>
  <cols>
    <col min="1" max="1" width="20.00390625" customWidth="1"/>
    <col min="2" max="8" width="11.25390625" customWidth="1"/>
  </cols>
  <sheetData>
    <row r="1" ht="19.5" customHeight="1">
      <c r="A1" s="340" t="s">
        <v>1612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</row>
    <row r="2" ht="14.25" customHeight="1">
      <c r="A2" s="203" t="s">
        <v>1613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</row>
    <row r="4" ht="15.75" customHeight="1">
      <c r="A4" s="222" t="s">
        <v>1614</v>
      </c>
      <c r="B4" s="222"/>
      <c r="C4" s="222"/>
      <c r="D4" s="222"/>
      <c r="E4" s="222"/>
      <c r="F4" s="222"/>
      <c r="G4" s="222"/>
      <c r="H4" s="222"/>
    </row>
    <row r="5" ht="13.5" customHeight="1">
      <c r="A5" s="210" t="s">
        <v>19</v>
      </c>
      <c r="B5" s="210" t="s">
        <v>1615</v>
      </c>
      <c r="C5" s="210" t="s">
        <v>1616</v>
      </c>
      <c r="D5" s="210" t="s">
        <v>1617</v>
      </c>
      <c r="E5" s="210" t="s">
        <v>379</v>
      </c>
      <c r="F5" s="210" t="s">
        <v>22</v>
      </c>
      <c r="G5" s="210" t="s">
        <v>20</v>
      </c>
      <c r="H5" s="210" t="s">
        <v>1618</v>
      </c>
    </row>
    <row r="6" ht="14.25" customHeight="1">
      <c r="A6" s="350" t="s">
        <v>6</v>
      </c>
      <c r="B6" s="365" t="s">
        <v>1619</v>
      </c>
      <c r="C6" s="365" t="s">
        <v>1619</v>
      </c>
      <c r="D6" s="365" t="s">
        <v>1619</v>
      </c>
      <c r="E6" s="365" t="s">
        <v>1619</v>
      </c>
      <c r="F6" s="365" t="s">
        <v>1619</v>
      </c>
      <c r="G6" s="365" t="s">
        <v>1619</v>
      </c>
      <c r="H6" s="365" t="s">
        <v>1619</v>
      </c>
    </row>
    <row r="7" ht="14.25" customHeight="1">
      <c r="A7" s="350" t="s">
        <v>945</v>
      </c>
      <c r="B7" s="365" t="s">
        <v>1619</v>
      </c>
      <c r="C7" s="365" t="s">
        <v>1619</v>
      </c>
      <c r="D7" s="365" t="s">
        <v>1619</v>
      </c>
      <c r="E7" s="365" t="s">
        <v>1619</v>
      </c>
      <c r="F7" s="365" t="s">
        <v>1619</v>
      </c>
      <c r="G7" s="365" t="s">
        <v>1619</v>
      </c>
      <c r="H7" s="365" t="s">
        <v>1619</v>
      </c>
    </row>
    <row r="8" ht="14.25" customHeight="1">
      <c r="A8" s="350" t="s">
        <v>1620</v>
      </c>
      <c r="B8" s="365" t="s">
        <v>1619</v>
      </c>
      <c r="C8" s="365" t="s">
        <v>1619</v>
      </c>
      <c r="D8" s="365" t="s">
        <v>1619</v>
      </c>
      <c r="E8" s="365" t="s">
        <v>1619</v>
      </c>
      <c r="F8" s="365" t="s">
        <v>1619</v>
      </c>
      <c r="G8" s="365" t="s">
        <v>1619</v>
      </c>
      <c r="H8" s="365" t="s">
        <v>1619</v>
      </c>
    </row>
    <row r="9" ht="14.25" customHeight="1">
      <c r="A9" s="350" t="s">
        <v>1621</v>
      </c>
      <c r="B9" s="365" t="s">
        <v>1619</v>
      </c>
      <c r="C9" s="365" t="s">
        <v>1619</v>
      </c>
      <c r="D9" s="365" t="s">
        <v>1619</v>
      </c>
      <c r="E9" s="365" t="s">
        <v>1619</v>
      </c>
      <c r="F9" s="365" t="s">
        <v>1619</v>
      </c>
      <c r="G9" s="365" t="s">
        <v>1619</v>
      </c>
      <c r="H9" s="365" t="s">
        <v>1619</v>
      </c>
    </row>
    <row r="10" ht="14.25" customHeight="1">
      <c r="A10" s="350" t="s">
        <v>1622</v>
      </c>
      <c r="B10" s="365" t="s">
        <v>1619</v>
      </c>
      <c r="C10" s="365" t="s">
        <v>1619</v>
      </c>
      <c r="D10" s="365" t="s">
        <v>1619</v>
      </c>
      <c r="E10" s="365" t="s">
        <v>1619</v>
      </c>
      <c r="F10" s="365" t="s">
        <v>1619</v>
      </c>
      <c r="G10" s="365" t="s">
        <v>1619</v>
      </c>
      <c r="H10" s="365" t="s">
        <v>1619</v>
      </c>
    </row>
    <row r="11" ht="14.25" customHeight="1">
      <c r="A11" s="366" t="s">
        <v>1623</v>
      </c>
      <c r="B11" s="365" t="s">
        <v>1619</v>
      </c>
      <c r="C11" s="365" t="s">
        <v>1619</v>
      </c>
      <c r="D11" s="365" t="s">
        <v>1619</v>
      </c>
      <c r="E11" s="365" t="s">
        <v>1619</v>
      </c>
      <c r="F11" s="365" t="s">
        <v>1619</v>
      </c>
      <c r="G11" s="365" t="s">
        <v>1619</v>
      </c>
      <c r="H11" s="365" t="s">
        <v>1619</v>
      </c>
    </row>
    <row r="12" ht="14.25" customHeight="1">
      <c r="A12" s="350" t="s">
        <v>1624</v>
      </c>
      <c r="B12" s="365" t="s">
        <v>1619</v>
      </c>
      <c r="C12" s="365" t="s">
        <v>1619</v>
      </c>
      <c r="D12" s="365" t="s">
        <v>1619</v>
      </c>
      <c r="E12" s="365" t="s">
        <v>1619</v>
      </c>
      <c r="F12" s="365" t="s">
        <v>1619</v>
      </c>
      <c r="G12" s="365" t="s">
        <v>1619</v>
      </c>
      <c r="H12" s="365" t="s">
        <v>1619</v>
      </c>
    </row>
    <row r="13" ht="14.25" customHeight="1">
      <c r="A13" s="350" t="s">
        <v>1625</v>
      </c>
      <c r="B13" s="365" t="s">
        <v>1619</v>
      </c>
      <c r="C13" s="365" t="s">
        <v>1619</v>
      </c>
      <c r="D13" s="365" t="s">
        <v>1619</v>
      </c>
      <c r="E13" s="365" t="s">
        <v>1619</v>
      </c>
      <c r="F13" s="365" t="s">
        <v>1619</v>
      </c>
      <c r="G13" s="365" t="s">
        <v>1619</v>
      </c>
      <c r="H13" s="365" t="s">
        <v>1619</v>
      </c>
    </row>
    <row r="14" ht="14.25" customHeight="1">
      <c r="A14" s="350" t="s">
        <v>1626</v>
      </c>
      <c r="B14" s="365" t="s">
        <v>1619</v>
      </c>
      <c r="C14" s="365" t="s">
        <v>1619</v>
      </c>
      <c r="D14" s="365" t="s">
        <v>1619</v>
      </c>
      <c r="E14" s="365" t="s">
        <v>1619</v>
      </c>
      <c r="F14" s="365" t="s">
        <v>1619</v>
      </c>
      <c r="G14" s="365" t="s">
        <v>1619</v>
      </c>
      <c r="H14" s="365" t="s">
        <v>1619</v>
      </c>
    </row>
    <row r="15" ht="14.25" customHeight="1">
      <c r="A15" s="350" t="s">
        <v>1627</v>
      </c>
      <c r="B15" s="365" t="s">
        <v>1619</v>
      </c>
      <c r="C15" s="365" t="s">
        <v>1619</v>
      </c>
      <c r="D15" s="365" t="s">
        <v>1619</v>
      </c>
      <c r="E15" s="365" t="s">
        <v>1619</v>
      </c>
      <c r="F15" s="365" t="s">
        <v>1619</v>
      </c>
      <c r="G15" s="365" t="s">
        <v>1619</v>
      </c>
      <c r="H15" s="365" t="s">
        <v>1619</v>
      </c>
    </row>
    <row r="16" ht="14.25" customHeight="1">
      <c r="A16" s="350" t="s">
        <v>7</v>
      </c>
      <c r="B16" s="365" t="s">
        <v>1619</v>
      </c>
      <c r="C16" s="365" t="s">
        <v>1619</v>
      </c>
      <c r="D16" s="365" t="s">
        <v>1619</v>
      </c>
      <c r="E16" s="365" t="s">
        <v>1619</v>
      </c>
      <c r="F16" s="365" t="s">
        <v>1619</v>
      </c>
      <c r="G16" s="365" t="s">
        <v>1619</v>
      </c>
      <c r="H16" s="365" t="s">
        <v>1619</v>
      </c>
    </row>
    <row r="17" ht="14.25" customHeight="1">
      <c r="A17" s="366" t="s">
        <v>29</v>
      </c>
      <c r="B17" s="365" t="s">
        <v>1628</v>
      </c>
      <c r="C17" s="365" t="s">
        <v>1628</v>
      </c>
      <c r="D17" s="365" t="s">
        <v>1628</v>
      </c>
      <c r="E17" s="365" t="s">
        <v>1628</v>
      </c>
      <c r="F17" s="365" t="s">
        <v>1628</v>
      </c>
      <c r="G17" s="365" t="s">
        <v>1628</v>
      </c>
      <c r="H17" s="365" t="s">
        <v>1628</v>
      </c>
    </row>
    <row r="19" ht="15.75" customHeight="1">
      <c r="A19" s="209" t="s">
        <v>1629</v>
      </c>
      <c r="B19" s="209"/>
      <c r="C19" s="209"/>
      <c r="D19" s="209"/>
      <c r="E19" s="209"/>
      <c r="F19" s="209"/>
      <c r="G19" s="209"/>
      <c r="H19" s="209"/>
    </row>
    <row r="20" ht="13.5" customHeight="1">
      <c r="A20" s="210" t="s">
        <v>1630</v>
      </c>
      <c r="B20" s="210" t="s">
        <v>67</v>
      </c>
      <c r="C20" s="210" t="s">
        <v>1631</v>
      </c>
      <c r="D20" s="210" t="s">
        <v>153</v>
      </c>
      <c r="E20" s="210" t="s">
        <v>8</v>
      </c>
      <c r="F20" s="210" t="s">
        <v>379</v>
      </c>
      <c r="G20" s="210" t="s">
        <v>22</v>
      </c>
      <c r="H20" s="210" t="s">
        <v>84</v>
      </c>
    </row>
    <row r="21" ht="13.5" customHeight="1">
      <c r="A21" s="211" t="s">
        <v>1632</v>
      </c>
      <c r="B21" s="211" t="s">
        <v>1619</v>
      </c>
      <c r="C21" s="211" t="s">
        <v>1619</v>
      </c>
      <c r="D21" s="211" t="s">
        <v>1619</v>
      </c>
      <c r="E21" s="211" t="s">
        <v>1628</v>
      </c>
      <c r="F21" s="211" t="s">
        <v>1619</v>
      </c>
      <c r="G21" s="211" t="s">
        <v>1619</v>
      </c>
      <c r="H21" s="211" t="s">
        <v>1628</v>
      </c>
    </row>
    <row r="22" ht="13.5" customHeight="1">
      <c r="A22" s="211" t="s">
        <v>1633</v>
      </c>
      <c r="B22" s="211" t="s">
        <v>1619</v>
      </c>
      <c r="C22" s="211" t="s">
        <v>1619</v>
      </c>
      <c r="D22" s="211" t="s">
        <v>1619</v>
      </c>
      <c r="E22" s="211" t="s">
        <v>1628</v>
      </c>
      <c r="F22" s="211" t="s">
        <v>1619</v>
      </c>
      <c r="G22" s="211" t="s">
        <v>1619</v>
      </c>
      <c r="H22" s="211" t="s">
        <v>1628</v>
      </c>
    </row>
    <row r="23" ht="13.5" customHeight="1">
      <c r="A23" s="211" t="s">
        <v>1634</v>
      </c>
      <c r="B23" s="211" t="s">
        <v>1619</v>
      </c>
      <c r="C23" s="211" t="s">
        <v>1619</v>
      </c>
      <c r="D23" s="211" t="s">
        <v>1619</v>
      </c>
      <c r="E23" s="211" t="s">
        <v>1628</v>
      </c>
      <c r="F23" s="211" t="s">
        <v>1619</v>
      </c>
      <c r="G23" s="211" t="s">
        <v>1619</v>
      </c>
      <c r="H23" s="211" t="s">
        <v>1628</v>
      </c>
    </row>
    <row r="24" ht="13.5" customHeight="1">
      <c r="A24" s="211" t="s">
        <v>1635</v>
      </c>
      <c r="B24" s="211" t="s">
        <v>1619</v>
      </c>
      <c r="C24" s="211" t="s">
        <v>1619</v>
      </c>
      <c r="D24" s="211" t="s">
        <v>1619</v>
      </c>
      <c r="E24" s="211" t="s">
        <v>1628</v>
      </c>
      <c r="F24" s="211" t="s">
        <v>1619</v>
      </c>
      <c r="G24" s="211" t="s">
        <v>1619</v>
      </c>
      <c r="H24" s="211" t="s">
        <v>1628</v>
      </c>
    </row>
    <row r="25" ht="13.5" customHeight="1">
      <c r="A25" s="211" t="s">
        <v>1636</v>
      </c>
      <c r="B25" s="211" t="s">
        <v>1619</v>
      </c>
      <c r="C25" s="211" t="s">
        <v>1619</v>
      </c>
      <c r="D25" s="211" t="s">
        <v>1619</v>
      </c>
      <c r="E25" s="211" t="s">
        <v>1628</v>
      </c>
      <c r="F25" s="211" t="s">
        <v>1619</v>
      </c>
      <c r="G25" s="211" t="s">
        <v>1619</v>
      </c>
      <c r="H25" s="211" t="s">
        <v>1628</v>
      </c>
    </row>
    <row r="26" ht="14.25" customHeight="1">
      <c r="A26" s="367" t="s">
        <v>1637</v>
      </c>
      <c r="B26" s="367"/>
      <c r="C26" s="367"/>
      <c r="D26" s="367"/>
      <c r="E26" s="367"/>
      <c r="F26" s="367"/>
      <c r="G26" s="367"/>
      <c r="H26" s="367"/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DFCA088-F788-BB02-EDA8-F3E919564418}" mc:Ignorable="x14ac xr xr2 xr3">
  <dimension ref="A1:GR50000"/>
  <sheetViews>
    <sheetView showGridLines="0" topLeftCell="A1" workbookViewId="0">
      <selection activeCell="A1" sqref="A1"/>
    </sheetView>
  </sheetViews>
  <sheetFormatPr defaultRowHeight="15" defaultColWidth="7.75390625" customHeight="1"/>
  <cols>
    <col min="1" max="1" width="20.00390625" customWidth="1"/>
    <col min="9" max="9" width="17.50390625" customWidth="1"/>
    <col min="10" max="10" width="12.50390625" customWidth="1"/>
    <col min="11" max="11" width="10.00390625" customWidth="1"/>
    <col min="12" max="12" width="8.75390625" customWidth="1"/>
  </cols>
  <sheetData>
    <row r="1" ht="19.5" customHeight="1">
      <c r="A1" s="340" t="s">
        <v>1638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</row>
    <row r="3" ht="14.25" customHeight="1">
      <c r="A3" s="368" t="s">
        <v>1639</v>
      </c>
    </row>
    <row r="5" ht="15.75" customHeight="1">
      <c r="A5" s="369" t="s">
        <v>1640</v>
      </c>
      <c r="B5" s="369"/>
      <c r="C5" s="369"/>
      <c r="D5" s="369"/>
      <c r="E5" s="369"/>
      <c r="F5" s="369"/>
      <c r="G5" s="369"/>
      <c r="H5" s="222"/>
      <c r="I5" s="370" t="s">
        <v>1641</v>
      </c>
      <c r="J5" s="370"/>
      <c r="K5" s="370"/>
      <c r="L5" s="370"/>
    </row>
    <row r="6" ht="13.5" customHeight="1">
      <c r="A6" s="371">
        <v>0</v>
      </c>
      <c r="B6" s="372" t="s">
        <v>1642</v>
      </c>
      <c r="C6" s="372" t="s">
        <v>1643</v>
      </c>
      <c r="D6" s="372" t="s">
        <v>1644</v>
      </c>
      <c r="E6" s="372" t="s">
        <v>1645</v>
      </c>
      <c r="F6" s="372" t="s">
        <v>1646</v>
      </c>
      <c r="G6" s="372" t="s">
        <v>1647</v>
      </c>
      <c r="I6" s="246" t="s">
        <v>19</v>
      </c>
      <c r="J6" s="246" t="s">
        <v>115</v>
      </c>
      <c r="K6" s="246" t="s">
        <v>1648</v>
      </c>
      <c r="L6" s="246" t="s">
        <v>1649</v>
      </c>
    </row>
    <row r="7" ht="14.25" customHeight="1">
      <c r="A7" s="373" t="s">
        <v>303</v>
      </c>
      <c r="B7" s="350"/>
      <c r="C7" s="350"/>
      <c r="D7" s="350"/>
      <c r="I7" s="211" t="s">
        <v>10</v>
      </c>
      <c r="J7" s="374" cm="1">
        <f t="array" ref="J7">B30</f>
        <v>7050000</v>
      </c>
      <c r="K7" s="374" cm="1">
        <f t="array" ref="K7">C30</f>
        <v>7000000</v>
      </c>
      <c r="L7" s="375" cm="1">
        <f t="array" ref="L7">D30</f>
        <v>0.00714285714285714</v>
      </c>
    </row>
    <row r="8" ht="15.75" customHeight="1">
      <c r="A8" s="350" t="s">
        <v>945</v>
      </c>
      <c r="B8" s="376">
        <v>12500000</v>
      </c>
      <c r="C8" s="376">
        <v>12300000</v>
      </c>
      <c r="D8" s="377">
        <f t="shared" si="0" ref="D8:D21">IF(C8=0,"—",(B8-C8)/C8)</f>
        <v>0.016260162601626</v>
      </c>
      <c r="E8" s="185">
        <v>11800000</v>
      </c>
      <c r="F8" s="378">
        <f t="shared" si="1" ref="F8:F21">IF(E8=0,"—",(B8-E8)/E8)</f>
        <v>0.0593220338983051</v>
      </c>
      <c r="G8" s="185">
        <v>49100000</v>
      </c>
      <c r="I8" s="211" t="s">
        <v>176</v>
      </c>
      <c r="J8" s="379" cm="1">
        <f t="array" ref="J8">B40</f>
        <v>0.141</v>
      </c>
      <c r="K8" s="379" cm="1">
        <f t="array" ref="K8">C40</f>
        <v>0.14</v>
      </c>
      <c r="L8" s="375">
        <f t="shared" si="2" ref="L8:L9">(J8-K8)/K8</f>
        <v>0.00714285714285695</v>
      </c>
    </row>
    <row r="9" ht="15.75" customHeight="1">
      <c r="A9" s="350" t="s">
        <v>1620</v>
      </c>
      <c r="B9" s="376">
        <v>850000</v>
      </c>
      <c r="C9" s="376">
        <v>820000</v>
      </c>
      <c r="D9" s="377">
        <f t="shared" si="0"/>
        <v>0.0365853658536585</v>
      </c>
      <c r="E9" s="185">
        <v>780000</v>
      </c>
      <c r="F9" s="378">
        <f t="shared" si="1"/>
        <v>0.0897435897435897</v>
      </c>
      <c r="G9" s="185">
        <v>3290000</v>
      </c>
      <c r="I9" s="211" t="s">
        <v>1650</v>
      </c>
      <c r="J9" s="379" cm="1">
        <f t="array" ref="J9">B41</f>
        <v>0.1401</v>
      </c>
      <c r="K9" s="379" cm="1">
        <f t="array" ref="K9">C41</f>
        <v>0.141</v>
      </c>
      <c r="L9" s="375">
        <f t="shared" si="2"/>
        <v>-0.00638297872340414</v>
      </c>
    </row>
    <row r="10" ht="15.75" customHeight="1">
      <c r="A10" s="366" t="s">
        <v>6</v>
      </c>
      <c r="B10" s="376">
        <f t="shared" si="3" ref="B10:G58">B8+B9</f>
        <v>13350000</v>
      </c>
      <c r="C10" s="376">
        <f t="shared" si="3"/>
        <v>13120000</v>
      </c>
      <c r="D10" s="377">
        <f t="shared" si="0"/>
        <v>0.0175304878048781</v>
      </c>
      <c r="E10" s="185">
        <f t="shared" si="3"/>
        <v>12580000</v>
      </c>
      <c r="F10" s="378">
        <f t="shared" si="1"/>
        <v>0.06120826709062</v>
      </c>
      <c r="G10" s="185">
        <f t="shared" si="3"/>
        <v>52390000</v>
      </c>
      <c r="I10" s="211" t="s">
        <v>153</v>
      </c>
      <c r="J10" s="374" cm="1">
        <f t="array" ref="J10">B21</f>
        <v>8200000</v>
      </c>
      <c r="K10" s="374" cm="1">
        <f t="array" ref="K10">C21</f>
        <v>8030000</v>
      </c>
      <c r="L10" s="375" cm="1">
        <f t="array" ref="L10">D21</f>
        <v>0.0211706102117061</v>
      </c>
    </row>
    <row r="11" ht="14.25" customHeight="1">
      <c r="A11" s="350">
        <v>0</v>
      </c>
      <c r="B11" s="350"/>
      <c r="C11" s="350"/>
      <c r="D11" s="350"/>
      <c r="I11" s="211" t="s">
        <v>565</v>
      </c>
      <c r="J11" s="375" cm="1">
        <f t="array" ref="J11">E52</f>
        <v>0.0199039121482498</v>
      </c>
      <c r="K11" s="380">
        <v>0</v>
      </c>
      <c r="L11" s="380">
        <v>0</v>
      </c>
    </row>
    <row r="12" ht="14.25" customHeight="1">
      <c r="A12" s="373" t="s">
        <v>1651</v>
      </c>
      <c r="B12" s="350"/>
      <c r="C12" s="350"/>
      <c r="D12" s="350"/>
      <c r="I12" s="211" t="s">
        <v>1652</v>
      </c>
      <c r="J12" s="375">
        <v>0.952</v>
      </c>
      <c r="K12" s="375">
        <v>0.948</v>
      </c>
      <c r="L12" s="375">
        <f t="shared" si="4" ref="L12:L14">J12-K12</f>
        <v>0.004</v>
      </c>
    </row>
    <row r="13" ht="15.75" customHeight="1">
      <c r="A13" t="s">
        <v>1653</v>
      </c>
      <c r="B13" s="185">
        <v>2100000</v>
      </c>
      <c r="C13" s="185">
        <v>2050000</v>
      </c>
      <c r="D13" s="378">
        <f t="shared" si="0"/>
        <v>0.024390243902439</v>
      </c>
      <c r="E13" s="185">
        <v>1980000</v>
      </c>
      <c r="F13" s="378">
        <f t="shared" si="1"/>
        <v>0.0606060606060606</v>
      </c>
      <c r="G13" s="185">
        <v>8180000</v>
      </c>
      <c r="I13" s="211" t="s">
        <v>34</v>
      </c>
      <c r="J13" s="380" cm="1">
        <f t="array" ref="J13">C62</f>
        <v>1.52</v>
      </c>
      <c r="K13" s="380">
        <v>1.48</v>
      </c>
      <c r="L13" s="380">
        <v>0</v>
      </c>
    </row>
    <row r="14" ht="15.75" customHeight="1">
      <c r="A14" t="s">
        <v>1654</v>
      </c>
      <c r="B14" s="185">
        <v>650000</v>
      </c>
      <c r="C14" s="185">
        <v>620000</v>
      </c>
      <c r="D14" s="378">
        <f t="shared" si="0"/>
        <v>0.0483870967741935</v>
      </c>
      <c r="E14" s="185">
        <v>600000</v>
      </c>
      <c r="F14" s="378">
        <f t="shared" si="1"/>
        <v>0.0833333333333333</v>
      </c>
      <c r="G14" s="185">
        <v>2520000</v>
      </c>
      <c r="I14" s="211" t="s">
        <v>1655</v>
      </c>
      <c r="J14" s="375" cm="1">
        <f t="array" ref="J14">C64</f>
        <v>0.58</v>
      </c>
      <c r="K14" s="375">
        <v>0.585</v>
      </c>
      <c r="L14" s="375">
        <f t="shared" si="4"/>
        <v>-0.005</v>
      </c>
    </row>
    <row r="15" ht="15.75" customHeight="1">
      <c r="A15" t="s">
        <v>1624</v>
      </c>
      <c r="B15" s="185">
        <v>480000</v>
      </c>
      <c r="C15" s="185">
        <v>510000</v>
      </c>
      <c r="D15" s="378">
        <f t="shared" si="0"/>
        <v>-0.0588235294117647</v>
      </c>
      <c r="E15" s="185">
        <v>460000</v>
      </c>
      <c r="F15" s="378">
        <f t="shared" si="1"/>
        <v>0.0434782608695652</v>
      </c>
      <c r="G15" s="185">
        <v>1940000</v>
      </c>
    </row>
    <row r="16" ht="15.75" customHeight="1">
      <c r="A16" t="s">
        <v>1656</v>
      </c>
      <c r="B16" s="185">
        <v>1200000</v>
      </c>
      <c r="C16" s="185">
        <v>1200000</v>
      </c>
      <c r="D16" s="378">
        <f t="shared" si="0"/>
        <v>0</v>
      </c>
      <c r="E16" s="185">
        <v>1150000</v>
      </c>
      <c r="F16" s="378">
        <f t="shared" si="1"/>
        <v>0.0434782608695652</v>
      </c>
      <c r="G16" s="185">
        <v>4800000</v>
      </c>
    </row>
    <row r="17" ht="15.75" customHeight="1">
      <c r="A17" t="s">
        <v>1626</v>
      </c>
      <c r="B17" s="185">
        <v>320000</v>
      </c>
      <c r="C17" s="185">
        <v>320000</v>
      </c>
      <c r="D17" s="378">
        <f t="shared" si="0"/>
        <v>0</v>
      </c>
      <c r="E17" s="185">
        <v>300000</v>
      </c>
      <c r="F17" s="378">
        <f t="shared" si="1"/>
        <v>0.0666666666666667</v>
      </c>
      <c r="G17" s="185">
        <v>1280000</v>
      </c>
    </row>
    <row r="18" ht="15.75" customHeight="1">
      <c r="A18" t="s">
        <v>1657</v>
      </c>
      <c r="B18" s="185">
        <v>400000</v>
      </c>
      <c r="C18" s="185">
        <v>390000</v>
      </c>
      <c r="D18" s="378">
        <f t="shared" si="0"/>
        <v>0.0256410256410256</v>
      </c>
      <c r="E18" s="185">
        <v>375000</v>
      </c>
      <c r="F18" s="378">
        <f t="shared" si="1"/>
        <v>0.0666666666666667</v>
      </c>
      <c r="G18" s="185">
        <v>1555000</v>
      </c>
    </row>
    <row r="19" ht="15.75" customHeight="1">
      <c r="A19" s="366" t="s">
        <v>1621</v>
      </c>
      <c r="B19" s="185">
        <f t="shared" si="5" ref="B19:G19">SUM(B13:B18)</f>
        <v>5150000</v>
      </c>
      <c r="C19" s="185">
        <f t="shared" si="5"/>
        <v>5090000</v>
      </c>
      <c r="D19" s="378">
        <f t="shared" si="0"/>
        <v>0.0117878192534381</v>
      </c>
      <c r="E19" s="185">
        <f t="shared" si="5"/>
        <v>4865000</v>
      </c>
      <c r="F19" s="378">
        <f t="shared" si="1"/>
        <v>0.0585817060637204</v>
      </c>
      <c r="G19" s="185">
        <f t="shared" si="5"/>
        <v>20275000</v>
      </c>
    </row>
    <row r="20" ht="15.75" customHeight="1">
      <c r="A20">
        <v>0</v>
      </c>
    </row>
    <row r="21" ht="14.25" customHeight="1">
      <c r="A21" s="381" t="s">
        <v>331</v>
      </c>
      <c r="B21" s="382">
        <f t="shared" si="6" ref="B21:G21">B10-B19</f>
        <v>8200000</v>
      </c>
      <c r="C21" s="382">
        <f t="shared" si="6"/>
        <v>8030000</v>
      </c>
      <c r="D21" s="383">
        <f t="shared" si="0"/>
        <v>0.0211706102117061</v>
      </c>
      <c r="E21" s="382">
        <f t="shared" si="6"/>
        <v>7715000</v>
      </c>
      <c r="F21" s="383">
        <f t="shared" si="1"/>
        <v>0.0628645495787427</v>
      </c>
      <c r="G21" s="382">
        <f t="shared" si="6"/>
        <v>32115000</v>
      </c>
    </row>
    <row r="23" ht="15.75" customHeight="1">
      <c r="A23" s="369" t="s">
        <v>1658</v>
      </c>
      <c r="B23" s="369"/>
      <c r="C23" s="369"/>
      <c r="D23" s="369"/>
      <c r="E23" s="369"/>
      <c r="F23" s="369"/>
      <c r="G23" s="369"/>
    </row>
    <row r="24" ht="13.5" customHeight="1">
      <c r="A24" s="372"/>
      <c r="B24" s="372" t="s">
        <v>1642</v>
      </c>
      <c r="C24" s="372" t="s">
        <v>1643</v>
      </c>
      <c r="D24" s="372" t="s">
        <v>1644</v>
      </c>
      <c r="E24" s="372" t="s">
        <v>1645</v>
      </c>
      <c r="F24" s="372" t="s">
        <v>1646</v>
      </c>
      <c r="G24" s="372" t="s">
        <v>1647</v>
      </c>
    </row>
    <row r="25" ht="15.75" customHeight="1">
      <c r="A25" t="s">
        <v>1659</v>
      </c>
      <c r="B25" s="185">
        <v>4200000</v>
      </c>
      <c r="C25" s="185">
        <v>4100000</v>
      </c>
      <c r="D25" s="378">
        <f t="shared" si="7" ref="D25:D36">IF(C25=0,"—",(B25-C25)/ABS(C25))</f>
        <v>0.024390243902439</v>
      </c>
      <c r="E25" s="185">
        <v>4000000</v>
      </c>
      <c r="F25" s="378">
        <f t="shared" si="8" ref="F25:F36">IF(E25=0,"—",(B25-E25)/ABS(E25))</f>
        <v>0.05</v>
      </c>
      <c r="G25" s="185">
        <v>16400000</v>
      </c>
    </row>
    <row r="26" ht="15.75" customHeight="1">
      <c r="A26" t="s">
        <v>1660</v>
      </c>
      <c r="B26" s="185">
        <v>2800000</v>
      </c>
      <c r="C26" s="185">
        <v>2800000</v>
      </c>
      <c r="D26" s="378">
        <f t="shared" si="7"/>
        <v>0</v>
      </c>
      <c r="E26" s="185">
        <v>2700000</v>
      </c>
      <c r="F26" s="378">
        <f t="shared" si="8"/>
        <v>0.037037037037037</v>
      </c>
      <c r="G26" s="185">
        <v>11200000</v>
      </c>
    </row>
    <row r="27" ht="15.75" customHeight="1">
      <c r="A27" t="s">
        <v>1661</v>
      </c>
      <c r="B27" s="185">
        <v>150000</v>
      </c>
      <c r="C27" s="185">
        <v>150000</v>
      </c>
      <c r="D27" s="378">
        <f t="shared" si="7"/>
        <v>0</v>
      </c>
      <c r="E27" s="185">
        <v>140000</v>
      </c>
      <c r="F27" s="378">
        <f t="shared" si="8"/>
        <v>0.0714285714285714</v>
      </c>
      <c r="G27" s="185">
        <v>600000</v>
      </c>
    </row>
    <row r="28" ht="15.75" customHeight="1">
      <c r="A28" t="s">
        <v>1662</v>
      </c>
      <c r="B28" s="185">
        <v>0</v>
      </c>
      <c r="C28" s="185">
        <v>0</v>
      </c>
      <c r="D28" s="378" t="str">
        <f t="shared" si="7"/>
        <v>—</v>
      </c>
      <c r="E28" s="185">
        <v>250000</v>
      </c>
      <c r="F28" s="378">
        <f t="shared" si="8"/>
        <v>-1</v>
      </c>
      <c r="G28" s="185">
        <v>250000</v>
      </c>
    </row>
    <row r="29" ht="15.75" customHeight="1">
      <c r="A29" t="s">
        <v>1663</v>
      </c>
      <c r="B29" s="185">
        <v>100000</v>
      </c>
      <c r="C29" s="185">
        <v>50000</v>
      </c>
      <c r="D29" s="378">
        <f t="shared" si="7"/>
        <v>1</v>
      </c>
      <c r="E29" s="185">
        <v>0</v>
      </c>
      <c r="F29" s="378" t="str">
        <f t="shared" si="8"/>
        <v>—</v>
      </c>
      <c r="G29" s="185">
        <v>200000</v>
      </c>
    </row>
    <row r="30" ht="14.25" customHeight="1">
      <c r="A30" s="384" t="s">
        <v>1664</v>
      </c>
      <c r="B30" s="385">
        <f t="shared" si="9" ref="B30:G30">B25+B26+B27-B28-B29</f>
        <v>7050000</v>
      </c>
      <c r="C30" s="385">
        <f t="shared" si="9"/>
        <v>7000000</v>
      </c>
      <c r="D30" s="386">
        <f t="shared" si="7"/>
        <v>0.00714285714285714</v>
      </c>
      <c r="E30" s="385">
        <f t="shared" si="9"/>
        <v>6590000</v>
      </c>
      <c r="F30" s="386">
        <f t="shared" si="8"/>
        <v>0.0698027314112291</v>
      </c>
      <c r="G30" s="385">
        <f t="shared" si="9"/>
        <v>27750000</v>
      </c>
    </row>
    <row r="31" ht="15.75" customHeight="1">
      <c r="A31">
        <v>0</v>
      </c>
    </row>
    <row r="32" ht="13.5" customHeight="1">
      <c r="A32" s="387" t="s">
        <v>1665</v>
      </c>
    </row>
    <row r="33" ht="15.75" customHeight="1">
      <c r="A33" t="s">
        <v>1666</v>
      </c>
      <c r="B33" s="185">
        <v>75000</v>
      </c>
      <c r="C33" s="185">
        <v>75000</v>
      </c>
      <c r="D33" s="378">
        <f t="shared" si="7"/>
        <v>0</v>
      </c>
      <c r="E33" s="185">
        <v>70000</v>
      </c>
      <c r="F33" s="378">
        <f t="shared" si="8"/>
        <v>0.0714285714285714</v>
      </c>
      <c r="G33" s="185">
        <v>300000</v>
      </c>
    </row>
    <row r="34" ht="15.75" customHeight="1">
      <c r="A34" t="s">
        <v>1667</v>
      </c>
      <c r="B34" s="185">
        <v>120000</v>
      </c>
      <c r="C34" s="185">
        <v>110000</v>
      </c>
      <c r="D34" s="378">
        <f t="shared" si="7"/>
        <v>0.0909090909090909</v>
      </c>
      <c r="E34" s="185">
        <v>100000</v>
      </c>
      <c r="F34" s="378">
        <f t="shared" si="8"/>
        <v>0.2</v>
      </c>
      <c r="G34" s="185">
        <v>450000</v>
      </c>
    </row>
    <row r="35" ht="15.75" customHeight="1">
      <c r="A35" t="s">
        <v>1668</v>
      </c>
      <c r="B35" s="185">
        <v>0</v>
      </c>
      <c r="C35" s="185">
        <v>85000</v>
      </c>
      <c r="D35" s="378">
        <f t="shared" si="7"/>
        <v>-1</v>
      </c>
      <c r="E35" s="185">
        <v>0</v>
      </c>
      <c r="F35" s="378" t="str">
        <f t="shared" si="8"/>
        <v>—</v>
      </c>
      <c r="G35" s="185">
        <v>85000</v>
      </c>
    </row>
    <row r="36" ht="14.25" customHeight="1">
      <c r="A36" s="381" t="s">
        <v>1669</v>
      </c>
      <c r="B36" s="382">
        <f t="shared" si="10" ref="B36:G36">B30+B33-B34+B35</f>
        <v>7005000</v>
      </c>
      <c r="C36" s="382">
        <f t="shared" si="10"/>
        <v>7050000</v>
      </c>
      <c r="D36" s="383">
        <f t="shared" si="7"/>
        <v>-0.00638297872340425</v>
      </c>
      <c r="E36" s="382">
        <f t="shared" si="10"/>
        <v>6560000</v>
      </c>
      <c r="F36" s="383">
        <f t="shared" si="8"/>
        <v>0.0678353658536585</v>
      </c>
      <c r="G36" s="382">
        <f t="shared" si="10"/>
        <v>27685000</v>
      </c>
    </row>
    <row r="38" ht="14.25" customHeight="1">
      <c r="A38" s="388" t="s">
        <v>1670</v>
      </c>
      <c r="B38" s="388"/>
      <c r="C38" s="388"/>
      <c r="D38" s="388"/>
      <c r="E38" s="388"/>
      <c r="F38" s="388"/>
      <c r="G38" s="388"/>
    </row>
    <row r="39" ht="15.75" customHeight="1">
      <c r="A39" t="s">
        <v>1671</v>
      </c>
      <c r="B39" s="389">
        <v>50000000</v>
      </c>
      <c r="C39" s="389">
        <v>50000000</v>
      </c>
      <c r="E39" s="389">
        <v>49500000</v>
      </c>
      <c r="G39" s="389">
        <v>50000000</v>
      </c>
    </row>
    <row r="40" ht="15.75" customHeight="1">
      <c r="A40" s="359" t="s">
        <v>89</v>
      </c>
      <c r="B40" s="390">
        <f t="shared" si="11" ref="B40:G40">B30/B39</f>
        <v>0.141</v>
      </c>
      <c r="C40" s="390">
        <f t="shared" si="11"/>
        <v>0.14</v>
      </c>
      <c r="E40" s="390">
        <f t="shared" si="11"/>
        <v>0.133131313131313</v>
      </c>
      <c r="G40" s="390">
        <f t="shared" si="11"/>
        <v>0.555</v>
      </c>
    </row>
    <row r="41" ht="15.75" customHeight="1">
      <c r="A41" s="359" t="s">
        <v>1672</v>
      </c>
      <c r="B41" s="390">
        <f t="shared" si="12" ref="B41:G41">B36/B39</f>
        <v>0.1401</v>
      </c>
      <c r="C41" s="390">
        <f t="shared" si="12"/>
        <v>0.141</v>
      </c>
      <c r="E41" s="390">
        <f t="shared" si="12"/>
        <v>0.132525252525253</v>
      </c>
      <c r="G41" s="390">
        <f t="shared" si="12"/>
        <v>0.5537</v>
      </c>
    </row>
    <row r="43" ht="15.75" customHeight="1">
      <c r="A43" s="369" t="s">
        <v>1673</v>
      </c>
      <c r="B43" s="369"/>
      <c r="C43" s="369"/>
      <c r="D43" s="369"/>
      <c r="E43" s="369"/>
      <c r="F43" s="369"/>
      <c r="G43" s="369"/>
    </row>
    <row r="44" ht="13.5" customHeight="1">
      <c r="A44" s="372"/>
      <c r="B44" s="372" t="s">
        <v>1642</v>
      </c>
      <c r="C44" s="372" t="s">
        <v>1645</v>
      </c>
      <c r="D44" s="372" t="s">
        <v>1674</v>
      </c>
      <c r="E44" s="372" t="s">
        <v>1675</v>
      </c>
      <c r="F44" s="372" t="s">
        <v>1466</v>
      </c>
    </row>
    <row r="45" ht="15.75" customHeight="1">
      <c r="A45" s="359" t="s">
        <v>1676</v>
      </c>
      <c r="B45" s="185">
        <v>8200000</v>
      </c>
      <c r="C45" s="185">
        <v>7715000</v>
      </c>
      <c r="D45" s="185">
        <f t="shared" si="15" ref="D45:D52">B45-C45</f>
        <v>485000</v>
      </c>
      <c r="E45" s="378">
        <f t="shared" si="16" ref="E45:E52">D45/C45</f>
        <v>0.0628645495787427</v>
      </c>
      <c r="F45" s="389">
        <v>12</v>
      </c>
    </row>
    <row r="46" ht="15.75" customHeight="1">
      <c r="A46" t="s">
        <v>1677</v>
      </c>
    </row>
    <row r="47" ht="15.75" customHeight="1">
      <c r="A47" s="391" t="s">
        <v>1678</v>
      </c>
      <c r="B47" s="185">
        <v>450000</v>
      </c>
      <c r="C47" s="185">
        <v>0</v>
      </c>
      <c r="F47" s="389">
        <v>2</v>
      </c>
    </row>
    <row r="48" ht="15.75" customHeight="1">
      <c r="A48" s="391" t="s">
        <v>1679</v>
      </c>
      <c r="B48" s="185">
        <v>0</v>
      </c>
      <c r="C48" s="185">
        <v>280000</v>
      </c>
      <c r="F48" s="389">
        <v>1</v>
      </c>
    </row>
    <row r="49" ht="15.75" customHeight="1">
      <c r="A49" s="391" t="s">
        <v>1680</v>
      </c>
      <c r="B49" s="185">
        <v>320000</v>
      </c>
      <c r="C49" s="185">
        <v>150000</v>
      </c>
      <c r="F49" s="389">
        <v>1</v>
      </c>
    </row>
    <row r="50" ht="15.75" customHeight="1">
      <c r="A50" s="359" t="s">
        <v>1681</v>
      </c>
      <c r="B50" s="185">
        <f t="shared" si="13" ref="B50:F50">B47+B48+B49</f>
        <v>770000</v>
      </c>
      <c r="C50" s="185">
        <f t="shared" si="13"/>
        <v>430000</v>
      </c>
      <c r="F50" s="389">
        <f t="shared" si="13"/>
        <v>4</v>
      </c>
    </row>
    <row r="51" ht="15.75" customHeight="1">
      <c r="A51">
        <v>0</v>
      </c>
    </row>
    <row r="52" ht="14.25" customHeight="1">
      <c r="A52" s="381" t="s">
        <v>1682</v>
      </c>
      <c r="B52" s="382">
        <f t="shared" si="14" ref="B52:F52">B45-B50</f>
        <v>7430000</v>
      </c>
      <c r="C52" s="382">
        <f t="shared" si="14"/>
        <v>7285000</v>
      </c>
      <c r="D52" s="382">
        <f t="shared" si="15"/>
        <v>145000</v>
      </c>
      <c r="E52" s="383">
        <f t="shared" si="16"/>
        <v>0.0199039121482498</v>
      </c>
      <c r="F52" s="392">
        <f t="shared" si="14"/>
        <v>8</v>
      </c>
    </row>
    <row r="53" ht="15.75" customHeight="1">
      <c r="A53">
        <v>0</v>
      </c>
    </row>
    <row r="54" ht="13.5" customHeight="1">
      <c r="A54" s="387" t="s">
        <v>1683</v>
      </c>
    </row>
    <row r="55" ht="15.75" customHeight="1">
      <c r="A55" t="s">
        <v>1684</v>
      </c>
      <c r="C55" s="185">
        <v>7285000</v>
      </c>
    </row>
    <row r="56" ht="15.75" customHeight="1">
      <c r="A56" t="s">
        <v>1685</v>
      </c>
      <c r="D56" s="185">
        <v>380000</v>
      </c>
      <c r="E56" s="378">
        <f>D56/C55</f>
        <v>0.0521619766643789</v>
      </c>
    </row>
    <row r="57" ht="15.75" customHeight="1">
      <c r="A57" t="s">
        <v>1686</v>
      </c>
      <c r="D57" s="185">
        <v>-120000</v>
      </c>
      <c r="E57" s="378">
        <f>D57/C55</f>
        <v>-0.0164722031571723</v>
      </c>
    </row>
    <row r="58" ht="15.75" customHeight="1">
      <c r="A58" s="393" t="s">
        <v>1687</v>
      </c>
      <c r="B58" s="185" cm="1">
        <f t="array" ref="B58">B52</f>
        <v>7430000</v>
      </c>
      <c r="D58" s="394">
        <f t="shared" si="3"/>
        <v>260000</v>
      </c>
      <c r="E58" s="378">
        <f>D58/C55</f>
        <v>0.0356897735072066</v>
      </c>
    </row>
    <row r="60" ht="15.75" customHeight="1">
      <c r="A60" s="369" t="s">
        <v>1688</v>
      </c>
      <c r="B60" s="369"/>
      <c r="C60" s="369"/>
      <c r="D60" s="369"/>
      <c r="E60" s="369"/>
      <c r="F60" s="369"/>
      <c r="G60" s="369"/>
      <c r="H60" s="369"/>
    </row>
    <row r="61" ht="13.5" customHeight="1">
      <c r="A61" s="371" t="s">
        <v>112</v>
      </c>
      <c r="B61" s="371" t="s">
        <v>1689</v>
      </c>
      <c r="C61" s="371" t="s">
        <v>115</v>
      </c>
      <c r="D61" s="371" t="s">
        <v>1690</v>
      </c>
      <c r="E61" s="371" t="s">
        <v>23</v>
      </c>
      <c r="F61" s="371" t="s">
        <v>1691</v>
      </c>
      <c r="G61" s="371" t="s">
        <v>1692</v>
      </c>
      <c r="H61" s="371" t="s">
        <v>1693</v>
      </c>
    </row>
    <row r="62" ht="15.75" customHeight="1">
      <c r="A62" s="211" t="s">
        <v>119</v>
      </c>
      <c r="B62" s="213" t="s">
        <v>1694</v>
      </c>
      <c r="C62" s="395">
        <v>1.52</v>
      </c>
      <c r="D62" s="396">
        <f>C62-1.25</f>
        <v>0.27</v>
      </c>
      <c r="E62" s="397" t="s">
        <v>1695</v>
      </c>
      <c r="F62" s="213" t="s">
        <v>1696</v>
      </c>
      <c r="G62" s="396" t="s">
        <v>1697</v>
      </c>
      <c r="H62" s="396" t="s">
        <v>1698</v>
      </c>
    </row>
    <row r="63" ht="15.75" customHeight="1">
      <c r="A63" s="211" t="s">
        <v>134</v>
      </c>
      <c r="B63" s="213" t="s">
        <v>1699</v>
      </c>
      <c r="C63" s="395">
        <v>2.85</v>
      </c>
      <c r="D63" s="396">
        <f>C63-2</f>
        <v>0.85</v>
      </c>
      <c r="E63" s="397" t="s">
        <v>1695</v>
      </c>
      <c r="F63" s="213" t="s">
        <v>1696</v>
      </c>
      <c r="G63" s="396" t="s">
        <v>1697</v>
      </c>
      <c r="H63" s="396" t="s">
        <v>1698</v>
      </c>
    </row>
    <row r="64" ht="15.75" customHeight="1">
      <c r="A64" s="211" t="s">
        <v>1700</v>
      </c>
      <c r="B64" s="213" t="s">
        <v>1701</v>
      </c>
      <c r="C64" s="395">
        <v>0.58</v>
      </c>
      <c r="D64" s="396">
        <f>0.65-C64</f>
        <v>0.07</v>
      </c>
      <c r="E64" s="397" t="s">
        <v>1695</v>
      </c>
      <c r="F64" s="213" t="s">
        <v>1702</v>
      </c>
      <c r="G64" s="396" t="s">
        <v>1697</v>
      </c>
      <c r="H64" s="396" t="s">
        <v>1703</v>
      </c>
    </row>
    <row r="65" ht="15.75" customHeight="1">
      <c r="A65" s="211" t="s">
        <v>1704</v>
      </c>
      <c r="B65" s="213" t="s">
        <v>1705</v>
      </c>
      <c r="C65" s="395">
        <v>0.32</v>
      </c>
      <c r="D65" s="396">
        <f>0.40-C65</f>
        <v>0.08</v>
      </c>
      <c r="E65" s="397" t="s">
        <v>1695</v>
      </c>
      <c r="F65" s="213" t="s">
        <v>1706</v>
      </c>
      <c r="G65" s="396" t="s">
        <v>1697</v>
      </c>
      <c r="H65" s="396" t="s">
        <v>1703</v>
      </c>
    </row>
    <row r="66" ht="15.75" customHeight="1">
      <c r="A66" s="211" t="s">
        <v>1707</v>
      </c>
      <c r="B66" s="213" t="s">
        <v>1708</v>
      </c>
      <c r="C66" s="396">
        <v>2.15</v>
      </c>
      <c r="D66" s="396">
        <f>C66-1.5</f>
        <v>0.65</v>
      </c>
      <c r="E66" s="397" t="s">
        <v>1695</v>
      </c>
      <c r="F66" s="213" t="s">
        <v>1696</v>
      </c>
      <c r="G66" s="396" t="s">
        <v>1697</v>
      </c>
      <c r="H66" s="396" t="s">
        <v>1709</v>
      </c>
    </row>
    <row r="67" ht="15.75" customHeight="1">
      <c r="A67" s="211" t="s">
        <v>1710</v>
      </c>
      <c r="B67" s="213" t="s">
        <v>1711</v>
      </c>
      <c r="C67" s="396" t="s">
        <v>1712</v>
      </c>
      <c r="D67" s="396"/>
      <c r="E67" s="397" t="s">
        <v>1695</v>
      </c>
      <c r="F67" s="213" t="s">
        <v>1696</v>
      </c>
      <c r="G67" s="396" t="s">
        <v>1697</v>
      </c>
      <c r="H67" s="396" t="s">
        <v>1470</v>
      </c>
    </row>
    <row r="68" ht="15.75" customHeight="1">
      <c r="A68" s="211" t="s">
        <v>1713</v>
      </c>
      <c r="B68" s="213" t="s">
        <v>1714</v>
      </c>
      <c r="C68" s="396" t="s">
        <v>1715</v>
      </c>
      <c r="D68" s="396"/>
      <c r="E68" s="397" t="s">
        <v>1695</v>
      </c>
      <c r="F68" s="213" t="s">
        <v>1702</v>
      </c>
      <c r="G68" s="396" t="s">
        <v>676</v>
      </c>
      <c r="H68" s="396" t="s">
        <v>1470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7BD5E23-DF88-D1BD-7F73-D7FDA4DAF486}" mc:Ignorable="x14ac xr xr2 xr3">
  <dimension ref="A1:GR50000"/>
  <sheetViews>
    <sheetView showGridLines="0" topLeftCell="A10" workbookViewId="0">
      <selection activeCell="A1" sqref="A1"/>
    </sheetView>
  </sheetViews>
  <sheetFormatPr defaultRowHeight="15" defaultColWidth="7.75390625" customHeight="1"/>
  <cols>
    <col min="1" max="1" width="7.50390625" customWidth="1"/>
    <col min="2" max="2" width="10.00390625" customWidth="1"/>
  </cols>
  <sheetData>
    <row r="1" ht="19.5" customHeight="1">
      <c r="A1" s="340" t="s">
        <v>1716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</row>
    <row r="3" ht="15.75" customHeight="1">
      <c r="A3" s="222" t="s">
        <v>1717</v>
      </c>
      <c r="B3" s="222"/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</row>
    <row r="4" ht="13.5" customHeight="1">
      <c r="A4" s="398" t="s">
        <v>1718</v>
      </c>
      <c r="B4" s="398" t="s">
        <v>113</v>
      </c>
      <c r="C4" s="398" t="s">
        <v>1719</v>
      </c>
      <c r="D4" s="398" t="s">
        <v>23</v>
      </c>
      <c r="E4" s="398" t="s">
        <v>1720</v>
      </c>
      <c r="F4" s="398" t="s">
        <v>1721</v>
      </c>
      <c r="G4" s="398" t="s">
        <v>1722</v>
      </c>
      <c r="H4" s="398" t="s">
        <v>1723</v>
      </c>
      <c r="I4" s="398" t="s">
        <v>1724</v>
      </c>
      <c r="J4" s="398" t="s">
        <v>511</v>
      </c>
      <c r="K4" s="398" t="s">
        <v>1725</v>
      </c>
    </row>
    <row r="6" ht="15" customHeight="1">
      <c r="A6" s="222" t="s">
        <v>1726</v>
      </c>
      <c r="F6" s="359" t="s">
        <v>1727</v>
      </c>
      <c r="G6" s="399">
        <v>251</v>
      </c>
    </row>
    <row r="7" ht="15" customHeight="1">
      <c r="A7" s="210" t="s">
        <v>39</v>
      </c>
      <c r="B7" s="210" t="s">
        <v>1728</v>
      </c>
      <c r="C7" s="210" t="s">
        <v>1729</v>
      </c>
      <c r="D7" s="210" t="s">
        <v>1730</v>
      </c>
    </row>
    <row r="8" ht="15" customHeight="1">
      <c r="A8" s="211" t="s">
        <v>1731</v>
      </c>
      <c r="B8" s="212">
        <v>8</v>
      </c>
      <c r="C8" s="215">
        <f t="shared" si="0" ref="C8:C31">B8/$G$6</f>
        <v>0.0318725099601594</v>
      </c>
      <c r="D8" s="212" cm="1">
        <f t="array" ref="D8">B8</f>
        <v>8</v>
      </c>
    </row>
    <row r="9" ht="15" customHeight="1">
      <c r="A9" s="211" t="s">
        <v>1732</v>
      </c>
      <c r="B9" s="212">
        <v>12</v>
      </c>
      <c r="C9" s="215">
        <f t="shared" si="0"/>
        <v>0.047808764940239</v>
      </c>
      <c r="D9" s="212">
        <f t="shared" si="1" ref="D9:D31">D8+B9</f>
        <v>20</v>
      </c>
    </row>
    <row r="10" ht="15" customHeight="1">
      <c r="A10" s="211" t="s">
        <v>1733</v>
      </c>
      <c r="B10" s="212">
        <v>15</v>
      </c>
      <c r="C10" s="215">
        <f t="shared" si="0"/>
        <v>0.0597609561752988</v>
      </c>
      <c r="D10" s="212">
        <f t="shared" si="1"/>
        <v>35</v>
      </c>
    </row>
    <row r="11" ht="15" customHeight="1">
      <c r="A11" s="211" t="s">
        <v>1734</v>
      </c>
      <c r="B11" s="212">
        <v>18</v>
      </c>
      <c r="C11" s="215">
        <f t="shared" si="0"/>
        <v>0.0717131474103586</v>
      </c>
      <c r="D11" s="212">
        <f t="shared" si="1"/>
        <v>53</v>
      </c>
    </row>
    <row r="12" ht="15" customHeight="1">
      <c r="A12" s="211" t="s">
        <v>1735</v>
      </c>
      <c r="B12" s="212">
        <v>22</v>
      </c>
      <c r="C12" s="215">
        <f t="shared" si="0"/>
        <v>0.0876494023904383</v>
      </c>
      <c r="D12" s="212">
        <f t="shared" si="1"/>
        <v>75</v>
      </c>
    </row>
    <row r="13" ht="15" customHeight="1">
      <c r="A13" s="211" t="s">
        <v>1736</v>
      </c>
      <c r="B13" s="212">
        <v>25</v>
      </c>
      <c r="C13" s="215">
        <f t="shared" si="0"/>
        <v>0.099601593625498</v>
      </c>
      <c r="D13" s="212">
        <f t="shared" si="1"/>
        <v>100</v>
      </c>
    </row>
    <row r="14" ht="15" customHeight="1">
      <c r="A14" s="211" t="s">
        <v>1737</v>
      </c>
      <c r="B14" s="212">
        <v>20</v>
      </c>
      <c r="C14" s="215">
        <f t="shared" si="0"/>
        <v>0.0796812749003984</v>
      </c>
      <c r="D14" s="212">
        <f t="shared" si="1"/>
        <v>120</v>
      </c>
    </row>
    <row r="15" ht="15" customHeight="1">
      <c r="A15" s="211" t="s">
        <v>1738</v>
      </c>
      <c r="B15" s="212">
        <v>18</v>
      </c>
      <c r="C15" s="215">
        <f t="shared" si="0"/>
        <v>0.0717131474103586</v>
      </c>
      <c r="D15" s="212">
        <f t="shared" si="1"/>
        <v>138</v>
      </c>
    </row>
    <row r="16" ht="15" customHeight="1">
      <c r="A16" s="211" t="s">
        <v>1739</v>
      </c>
      <c r="B16" s="212">
        <v>14</v>
      </c>
      <c r="C16" s="215">
        <f t="shared" si="0"/>
        <v>0.0557768924302789</v>
      </c>
      <c r="D16" s="212">
        <f t="shared" si="1"/>
        <v>152</v>
      </c>
    </row>
    <row r="17" ht="15" customHeight="1">
      <c r="A17" s="211" t="s">
        <v>1740</v>
      </c>
      <c r="B17" s="212">
        <v>10</v>
      </c>
      <c r="C17" s="215">
        <f t="shared" si="0"/>
        <v>0.0398406374501992</v>
      </c>
      <c r="D17" s="212">
        <f t="shared" si="1"/>
        <v>162</v>
      </c>
    </row>
    <row r="18" ht="15" customHeight="1">
      <c r="A18" s="211" t="s">
        <v>1741</v>
      </c>
      <c r="B18" s="212">
        <v>8</v>
      </c>
      <c r="C18" s="215">
        <f t="shared" si="0"/>
        <v>0.0318725099601594</v>
      </c>
      <c r="D18" s="212">
        <f t="shared" si="1"/>
        <v>170</v>
      </c>
    </row>
    <row r="19" ht="15" customHeight="1">
      <c r="A19" s="211" t="s">
        <v>1742</v>
      </c>
      <c r="B19" s="212">
        <v>6</v>
      </c>
      <c r="C19" s="215">
        <f t="shared" si="0"/>
        <v>0.0239043824701195</v>
      </c>
      <c r="D19" s="212">
        <f t="shared" si="1"/>
        <v>176</v>
      </c>
    </row>
    <row r="20" ht="15" customHeight="1">
      <c r="A20" s="211" t="s">
        <v>1743</v>
      </c>
      <c r="B20" s="212">
        <v>9</v>
      </c>
      <c r="C20" s="215">
        <f t="shared" si="0"/>
        <v>0.0358565737051793</v>
      </c>
      <c r="D20" s="212">
        <f t="shared" si="1"/>
        <v>185</v>
      </c>
    </row>
    <row r="21" ht="15" customHeight="1">
      <c r="A21" s="211" t="s">
        <v>1744</v>
      </c>
      <c r="B21" s="212">
        <v>11</v>
      </c>
      <c r="C21" s="215">
        <f t="shared" si="0"/>
        <v>0.0438247011952191</v>
      </c>
      <c r="D21" s="212">
        <f t="shared" si="1"/>
        <v>196</v>
      </c>
    </row>
    <row r="22" ht="15" customHeight="1">
      <c r="A22" s="211" t="s">
        <v>1745</v>
      </c>
      <c r="B22" s="212">
        <v>14</v>
      </c>
      <c r="C22" s="215">
        <f t="shared" si="0"/>
        <v>0.0557768924302789</v>
      </c>
      <c r="D22" s="212">
        <f t="shared" si="1"/>
        <v>210</v>
      </c>
    </row>
    <row r="23" ht="15" customHeight="1">
      <c r="A23" s="211" t="s">
        <v>1746</v>
      </c>
      <c r="B23" s="212">
        <v>17</v>
      </c>
      <c r="C23" s="215">
        <f t="shared" si="0"/>
        <v>0.0677290836653386</v>
      </c>
      <c r="D23" s="212">
        <f t="shared" si="1"/>
        <v>227</v>
      </c>
    </row>
    <row r="24" ht="15" customHeight="1">
      <c r="A24" s="211" t="s">
        <v>1747</v>
      </c>
      <c r="B24" s="212">
        <v>21</v>
      </c>
      <c r="C24" s="215">
        <f t="shared" si="0"/>
        <v>0.0836653386454183</v>
      </c>
      <c r="D24" s="212">
        <f t="shared" si="1"/>
        <v>248</v>
      </c>
    </row>
    <row r="25" ht="15" customHeight="1">
      <c r="A25" s="211" t="s">
        <v>1748</v>
      </c>
      <c r="B25" s="212">
        <v>24</v>
      </c>
      <c r="C25" s="215">
        <f t="shared" si="0"/>
        <v>0.0956175298804781</v>
      </c>
      <c r="D25" s="212">
        <f t="shared" si="1"/>
        <v>272</v>
      </c>
    </row>
    <row r="26" ht="15" customHeight="1">
      <c r="A26" s="211" t="s">
        <v>1749</v>
      </c>
      <c r="B26" s="212">
        <v>19</v>
      </c>
      <c r="C26" s="215">
        <f t="shared" si="0"/>
        <v>0.0756972111553785</v>
      </c>
      <c r="D26" s="212">
        <f t="shared" si="1"/>
        <v>291</v>
      </c>
    </row>
    <row r="27" ht="15" customHeight="1">
      <c r="A27" s="211" t="s">
        <v>1750</v>
      </c>
      <c r="B27" s="212">
        <v>16</v>
      </c>
      <c r="C27" s="215">
        <f t="shared" si="0"/>
        <v>0.0637450199203187</v>
      </c>
      <c r="D27" s="212">
        <f t="shared" si="1"/>
        <v>307</v>
      </c>
    </row>
    <row r="28" ht="15" customHeight="1">
      <c r="A28" s="211" t="s">
        <v>1751</v>
      </c>
      <c r="B28" s="212">
        <v>13</v>
      </c>
      <c r="C28" s="215">
        <f t="shared" si="0"/>
        <v>0.051792828685259</v>
      </c>
      <c r="D28" s="212">
        <f t="shared" si="1"/>
        <v>320</v>
      </c>
    </row>
    <row r="29" ht="15" customHeight="1">
      <c r="A29" s="211" t="s">
        <v>1752</v>
      </c>
      <c r="B29" s="212">
        <v>9</v>
      </c>
      <c r="C29" s="215">
        <f t="shared" si="0"/>
        <v>0.0358565737051793</v>
      </c>
      <c r="D29" s="212">
        <f t="shared" si="1"/>
        <v>329</v>
      </c>
    </row>
    <row r="30" ht="15" customHeight="1">
      <c r="A30" s="211" t="s">
        <v>1753</v>
      </c>
      <c r="B30" s="212">
        <v>7</v>
      </c>
      <c r="C30" s="215">
        <f t="shared" si="0"/>
        <v>0.0278884462151394</v>
      </c>
      <c r="D30" s="212">
        <f t="shared" si="1"/>
        <v>336</v>
      </c>
    </row>
    <row r="31" ht="15" customHeight="1">
      <c r="A31" s="211" t="s">
        <v>1754</v>
      </c>
      <c r="B31" s="212">
        <v>5</v>
      </c>
      <c r="C31" s="215">
        <f t="shared" si="0"/>
        <v>0.0199203187250996</v>
      </c>
      <c r="D31" s="212">
        <f t="shared" si="1"/>
        <v>341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drawing r:id="rId1"/>
  <extLst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E3475C8-C2D8-7EA8-703A-AD994BAAEA98}" mc:Ignorable="x14ac xr xr2 xr3">
  <dimension ref="A1:GR50000"/>
  <sheetViews>
    <sheetView showGridLines="0" topLeftCell="A21" workbookViewId="0">
      <selection activeCell="B19" sqref="B19"/>
    </sheetView>
  </sheetViews>
  <sheetFormatPr defaultRowHeight="15" defaultColWidth="7.75390625" customHeight="1"/>
  <cols>
    <col min="1" max="1" width="15.00390625" customWidth="1"/>
    <col min="2" max="2" width="22.50390625" customWidth="1"/>
    <col min="3" max="4" width="11.25390625" customWidth="1"/>
    <col min="5" max="5" width="10.00390625" customWidth="1"/>
    <col min="6" max="7" width="11.25390625" customWidth="1"/>
    <col min="8" max="8" width="10.00390625" customWidth="1"/>
    <col min="9" max="9" width="8.125" customWidth="1"/>
    <col min="10" max="10" width="6.25390625" customWidth="1"/>
    <col min="11" max="11" width="35.00390625" customWidth="1"/>
  </cols>
  <sheetData>
    <row r="1" ht="21" customHeight="1">
      <c r="A1" s="124" t="s">
        <v>1755</v>
      </c>
      <c r="B1" s="400"/>
      <c r="C1" s="400"/>
      <c r="D1" s="400"/>
      <c r="E1" s="400"/>
      <c r="F1" s="400"/>
      <c r="G1" s="400"/>
      <c r="H1" s="400"/>
      <c r="I1" s="400"/>
      <c r="J1" s="400"/>
      <c r="K1" s="2"/>
      <c r="L1" s="354" t="str">
        <f>HYPERLINK("#Alert_Dashboard!B2","← Back to Alerts")</f>
        <v>← Back to Alerts</v>
      </c>
    </row>
    <row r="2" ht="13.5" customHeight="1">
      <c r="A2" s="125" t="str">
        <f>TEXT(DATE(2026,1,1),"mmmm yyyy")&amp;" | MTD and YTD Analysis by Cost Center"</f>
        <v>January 2026 | MTD and YTD Analysis by Cost Center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ht="1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ht="15" customHeight="1">
      <c r="A4" s="126" t="s">
        <v>1757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ht="1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ht="12.75" customHeight="1">
      <c r="A6" s="401" t="s">
        <v>1758</v>
      </c>
      <c r="B6" s="401" t="s">
        <v>1759</v>
      </c>
      <c r="C6" s="401" t="s">
        <v>1760</v>
      </c>
      <c r="D6" s="10"/>
      <c r="E6" s="401" t="s">
        <v>20</v>
      </c>
      <c r="F6" s="401" t="s">
        <v>1618</v>
      </c>
      <c r="G6" s="401" t="s">
        <v>1761</v>
      </c>
      <c r="H6" s="10"/>
      <c r="I6" s="401" t="s">
        <v>86</v>
      </c>
      <c r="J6" s="401" t="s">
        <v>23</v>
      </c>
      <c r="K6" s="10"/>
    </row>
    <row r="7" ht="21" customHeight="1">
      <c r="A7" s="402">
        <f t="shared" si="0" ref="A7:B7">SUM(C10:C22)</f>
        <v>621000</v>
      </c>
      <c r="B7" s="402">
        <f t="shared" si="0"/>
        <v>585000</v>
      </c>
      <c r="C7" s="403">
        <f t="shared" si="2" ref="C7:H39">A7-B7</f>
        <v>36000</v>
      </c>
      <c r="D7" s="10"/>
      <c r="E7" s="402">
        <f t="shared" si="1" ref="E7:F7">SUM(F10:F22)</f>
        <v>621000</v>
      </c>
      <c r="F7" s="402">
        <f t="shared" si="1"/>
        <v>585000</v>
      </c>
      <c r="G7" s="403">
        <f t="shared" si="2"/>
        <v>36000</v>
      </c>
      <c r="H7" s="10"/>
      <c r="I7" s="404">
        <f>IF(F7=0,0,(E7-F7)/F7)</f>
        <v>0.0615384615384615</v>
      </c>
      <c r="J7" s="405" t="str">
        <f t="shared" si="3" ref="J7:J39">IF(I7&gt;=-0.05,"✓",IF(I7&gt;=-0.10,"⚠","✗"))</f>
        <v>✓</v>
      </c>
      <c r="K7" s="10"/>
    </row>
    <row r="8" ht="1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ht="15" customHeight="1">
      <c r="A9" s="18" t="s">
        <v>1762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ht="12.75" customHeight="1">
      <c r="A10" s="20" t="s">
        <v>294</v>
      </c>
      <c r="B10" s="20" t="s">
        <v>433</v>
      </c>
      <c r="C10" s="30" t="s">
        <v>1758</v>
      </c>
      <c r="D10" s="30" t="s">
        <v>1759</v>
      </c>
      <c r="E10" s="30" t="s">
        <v>1763</v>
      </c>
      <c r="F10" s="30" t="s">
        <v>20</v>
      </c>
      <c r="G10" s="30" t="s">
        <v>1618</v>
      </c>
      <c r="H10" s="30" t="s">
        <v>1764</v>
      </c>
      <c r="I10" s="30" t="s">
        <v>86</v>
      </c>
      <c r="J10" s="30" t="s">
        <v>23</v>
      </c>
      <c r="K10" s="20" t="s">
        <v>93</v>
      </c>
    </row>
    <row r="11" ht="13.5" customHeight="1">
      <c r="A11" s="21">
        <v>4100</v>
      </c>
      <c r="B11" s="21" t="s">
        <v>1765</v>
      </c>
      <c r="C11" s="131">
        <v>1125000</v>
      </c>
      <c r="D11" s="131">
        <v>1100000</v>
      </c>
      <c r="E11" s="132">
        <f t="shared" si="2"/>
        <v>25000</v>
      </c>
      <c r="F11" s="131">
        <v>1125000</v>
      </c>
      <c r="G11" s="131">
        <v>1100000</v>
      </c>
      <c r="H11" s="132">
        <f t="shared" si="2"/>
        <v>25000</v>
      </c>
      <c r="I11" s="133">
        <f t="shared" si="4" ref="I11:I23">IF(G11=0,0,(F11-G11)/ABS(G11))</f>
        <v>0.0227272727272727</v>
      </c>
      <c r="J11" s="36" t="str">
        <f t="shared" si="3"/>
        <v>✓</v>
      </c>
      <c r="K11" s="103" t="s">
        <v>1766</v>
      </c>
    </row>
    <row r="12" ht="13.5" customHeight="1">
      <c r="A12" s="21">
        <v>4200</v>
      </c>
      <c r="B12" s="21" t="s">
        <v>1620</v>
      </c>
      <c r="C12" s="131">
        <v>45000</v>
      </c>
      <c r="D12" s="131">
        <v>50000</v>
      </c>
      <c r="E12" s="132">
        <f t="shared" si="2"/>
        <v>-5000</v>
      </c>
      <c r="F12" s="131">
        <v>45000</v>
      </c>
      <c r="G12" s="131">
        <v>50000</v>
      </c>
      <c r="H12" s="132">
        <f t="shared" si="2"/>
        <v>-5000</v>
      </c>
      <c r="I12" s="133">
        <f t="shared" si="4"/>
        <v>-0.1</v>
      </c>
      <c r="J12" s="45" t="str">
        <f t="shared" si="3"/>
        <v>⚠</v>
      </c>
      <c r="K12" s="103" t="s">
        <v>1767</v>
      </c>
    </row>
    <row r="13" ht="13.5" customHeight="1">
      <c r="A13" s="21">
        <v>4300</v>
      </c>
      <c r="B13" s="21" t="s">
        <v>1768</v>
      </c>
      <c r="C13" s="131">
        <v>-28000</v>
      </c>
      <c r="D13" s="131">
        <v>-35000</v>
      </c>
      <c r="E13" s="132">
        <f t="shared" si="2"/>
        <v>7000</v>
      </c>
      <c r="F13" s="131">
        <v>-28000</v>
      </c>
      <c r="G13" s="131">
        <v>-35000</v>
      </c>
      <c r="H13" s="132">
        <f t="shared" si="2"/>
        <v>7000</v>
      </c>
      <c r="I13" s="133">
        <f t="shared" si="4"/>
        <v>0.2</v>
      </c>
      <c r="J13" s="36" t="str">
        <f t="shared" si="3"/>
        <v>✓</v>
      </c>
      <c r="K13" s="103" t="s">
        <v>1769</v>
      </c>
    </row>
    <row r="14" ht="13.5" customHeight="1">
      <c r="A14" s="21">
        <v>5100</v>
      </c>
      <c r="B14" s="21" t="s">
        <v>1770</v>
      </c>
      <c r="C14" s="131">
        <v>-185000</v>
      </c>
      <c r="D14" s="131">
        <v>-180000</v>
      </c>
      <c r="E14" s="132">
        <f t="shared" si="2"/>
        <v>-5000</v>
      </c>
      <c r="F14" s="131">
        <v>-185000</v>
      </c>
      <c r="G14" s="131">
        <v>-180000</v>
      </c>
      <c r="H14" s="132">
        <f t="shared" si="2"/>
        <v>-5000</v>
      </c>
      <c r="I14" s="133">
        <f t="shared" si="4"/>
        <v>-0.0277777777777778</v>
      </c>
      <c r="J14" s="36" t="str">
        <f t="shared" si="3"/>
        <v>✓</v>
      </c>
      <c r="K14" s="103" t="s">
        <v>1771</v>
      </c>
    </row>
    <row r="15" ht="13.5" customHeight="1">
      <c r="A15" s="21">
        <v>5200</v>
      </c>
      <c r="B15" s="21" t="s">
        <v>1654</v>
      </c>
      <c r="C15" s="131">
        <v>-62000</v>
      </c>
      <c r="D15" s="131">
        <v>-70000</v>
      </c>
      <c r="E15" s="132">
        <f t="shared" si="2"/>
        <v>8000</v>
      </c>
      <c r="F15" s="131">
        <v>-62000</v>
      </c>
      <c r="G15" s="131">
        <v>-70000</v>
      </c>
      <c r="H15" s="132">
        <f t="shared" si="2"/>
        <v>8000</v>
      </c>
      <c r="I15" s="133">
        <f t="shared" si="4"/>
        <v>0.114285714285714</v>
      </c>
      <c r="J15" s="36" t="str">
        <f t="shared" si="3"/>
        <v>✓</v>
      </c>
      <c r="K15" s="103" t="s">
        <v>1772</v>
      </c>
    </row>
    <row r="16" ht="13.5" customHeight="1">
      <c r="A16" s="21">
        <v>5300</v>
      </c>
      <c r="B16" s="21" t="s">
        <v>1624</v>
      </c>
      <c r="C16" s="131">
        <v>-48000</v>
      </c>
      <c r="D16" s="131">
        <v>-55000</v>
      </c>
      <c r="E16" s="132">
        <f t="shared" si="2"/>
        <v>7000</v>
      </c>
      <c r="F16" s="131">
        <v>-48000</v>
      </c>
      <c r="G16" s="131">
        <v>-55000</v>
      </c>
      <c r="H16" s="132">
        <f t="shared" si="2"/>
        <v>7000</v>
      </c>
      <c r="I16" s="133">
        <f t="shared" si="4"/>
        <v>0.127272727272727</v>
      </c>
      <c r="J16" s="36" t="str">
        <f t="shared" si="3"/>
        <v>✓</v>
      </c>
      <c r="K16" s="103" t="s">
        <v>1773</v>
      </c>
    </row>
    <row r="17" ht="13.5" customHeight="1">
      <c r="A17" s="21">
        <v>5400</v>
      </c>
      <c r="B17" s="21" t="s">
        <v>1626</v>
      </c>
      <c r="C17" s="131">
        <v>-32000</v>
      </c>
      <c r="D17" s="131">
        <v>-30000</v>
      </c>
      <c r="E17" s="132">
        <f t="shared" si="2"/>
        <v>-2000</v>
      </c>
      <c r="F17" s="131">
        <v>-32000</v>
      </c>
      <c r="G17" s="131">
        <v>-30000</v>
      </c>
      <c r="H17" s="132">
        <f t="shared" si="2"/>
        <v>-2000</v>
      </c>
      <c r="I17" s="133">
        <f t="shared" si="4"/>
        <v>-0.0666666666666667</v>
      </c>
      <c r="J17" s="45" t="str">
        <f t="shared" si="3"/>
        <v>⚠</v>
      </c>
      <c r="K17" s="103" t="s">
        <v>319</v>
      </c>
    </row>
    <row r="18" ht="13.5" customHeight="1">
      <c r="A18" s="21">
        <v>5500</v>
      </c>
      <c r="B18" s="21" t="s">
        <v>1656</v>
      </c>
      <c r="C18" s="131">
        <v>-85000</v>
      </c>
      <c r="D18" s="131">
        <v>-85000</v>
      </c>
      <c r="E18" s="132">
        <f t="shared" si="2"/>
        <v>0</v>
      </c>
      <c r="F18" s="131">
        <v>-85000</v>
      </c>
      <c r="G18" s="131">
        <v>-85000</v>
      </c>
      <c r="H18" s="132">
        <f t="shared" si="2"/>
        <v>0</v>
      </c>
      <c r="I18" s="133">
        <f t="shared" si="4"/>
        <v>0</v>
      </c>
      <c r="J18" s="36" t="str">
        <f t="shared" si="3"/>
        <v>✓</v>
      </c>
      <c r="K18" s="103" t="s">
        <v>1774</v>
      </c>
    </row>
    <row r="19" ht="13.5" customHeight="1">
      <c r="A19" s="21">
        <v>5600</v>
      </c>
      <c r="B19" s="21" t="s">
        <v>729</v>
      </c>
      <c r="C19" s="131">
        <v>-24000</v>
      </c>
      <c r="D19" s="131">
        <v>-28000</v>
      </c>
      <c r="E19" s="132">
        <f t="shared" si="2"/>
        <v>4000</v>
      </c>
      <c r="F19" s="131">
        <v>-24000</v>
      </c>
      <c r="G19" s="131">
        <v>-28000</v>
      </c>
      <c r="H19" s="132">
        <f t="shared" si="2"/>
        <v>4000</v>
      </c>
      <c r="I19" s="133">
        <f t="shared" si="4"/>
        <v>0.142857142857143</v>
      </c>
      <c r="J19" s="36" t="str">
        <f t="shared" si="3"/>
        <v>✓</v>
      </c>
      <c r="K19" s="103" t="s">
        <v>1775</v>
      </c>
    </row>
    <row r="20" ht="13.5" customHeight="1">
      <c r="A20" s="21">
        <v>5700</v>
      </c>
      <c r="B20" s="21" t="s">
        <v>1776</v>
      </c>
      <c r="C20" s="131">
        <v>-18000</v>
      </c>
      <c r="D20" s="131">
        <v>-15000</v>
      </c>
      <c r="E20" s="132">
        <f t="shared" si="2"/>
        <v>-3000</v>
      </c>
      <c r="F20" s="131">
        <v>-18000</v>
      </c>
      <c r="G20" s="131">
        <v>-15000</v>
      </c>
      <c r="H20" s="132">
        <f t="shared" si="2"/>
        <v>-3000</v>
      </c>
      <c r="I20" s="133">
        <f t="shared" si="4"/>
        <v>-0.2</v>
      </c>
      <c r="J20" s="406" t="str">
        <f t="shared" si="3"/>
        <v>✗</v>
      </c>
      <c r="K20" s="103" t="s">
        <v>1777</v>
      </c>
    </row>
    <row r="21" ht="13.5" customHeight="1">
      <c r="A21" s="21">
        <v>5800</v>
      </c>
      <c r="B21" s="21" t="s">
        <v>1778</v>
      </c>
      <c r="C21" s="131">
        <v>-22000</v>
      </c>
      <c r="D21" s="131">
        <v>-25000</v>
      </c>
      <c r="E21" s="132">
        <f t="shared" si="2"/>
        <v>3000</v>
      </c>
      <c r="F21" s="131">
        <v>-22000</v>
      </c>
      <c r="G21" s="131">
        <v>-25000</v>
      </c>
      <c r="H21" s="132">
        <f t="shared" si="2"/>
        <v>3000</v>
      </c>
      <c r="I21" s="133">
        <f t="shared" si="4"/>
        <v>0.12</v>
      </c>
      <c r="J21" s="36" t="str">
        <f t="shared" si="3"/>
        <v>✓</v>
      </c>
      <c r="K21" s="103" t="s">
        <v>1779</v>
      </c>
    </row>
    <row r="22" ht="13.5" customHeight="1">
      <c r="A22" s="21">
        <v>5900</v>
      </c>
      <c r="B22" s="21" t="s">
        <v>1780</v>
      </c>
      <c r="C22" s="131">
        <v>-45000</v>
      </c>
      <c r="D22" s="131">
        <v>-42000</v>
      </c>
      <c r="E22" s="132">
        <f t="shared" si="2"/>
        <v>-3000</v>
      </c>
      <c r="F22" s="131">
        <v>-45000</v>
      </c>
      <c r="G22" s="131">
        <v>-42000</v>
      </c>
      <c r="H22" s="132">
        <f t="shared" si="2"/>
        <v>-3000</v>
      </c>
      <c r="I22" s="133">
        <f t="shared" si="4"/>
        <v>-0.0714285714285714</v>
      </c>
      <c r="J22" s="45" t="str">
        <f t="shared" si="3"/>
        <v>⚠</v>
      </c>
      <c r="K22" s="103" t="s">
        <v>1781</v>
      </c>
    </row>
    <row r="23" ht="12.75" customHeight="1">
      <c r="A23" s="407"/>
      <c r="B23" s="407" t="s">
        <v>1637</v>
      </c>
      <c r="C23" s="408">
        <f t="shared" si="5" ref="C23:G39">SUM(C11:C22)</f>
        <v>621000</v>
      </c>
      <c r="D23" s="408">
        <f t="shared" si="5"/>
        <v>585000</v>
      </c>
      <c r="E23" s="409">
        <f t="shared" si="2"/>
        <v>36000</v>
      </c>
      <c r="F23" s="408">
        <f t="shared" si="5"/>
        <v>621000</v>
      </c>
      <c r="G23" s="408">
        <f t="shared" si="5"/>
        <v>585000</v>
      </c>
      <c r="H23" s="409">
        <f t="shared" si="2"/>
        <v>36000</v>
      </c>
      <c r="I23" s="410">
        <f t="shared" si="4"/>
        <v>0.0615384615384615</v>
      </c>
      <c r="J23" s="411" t="str">
        <f t="shared" si="3"/>
        <v>✓</v>
      </c>
      <c r="K23" s="407"/>
    </row>
    <row r="24" ht="1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ht="15" customHeight="1">
      <c r="A25" s="126" t="s">
        <v>1782</v>
      </c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12.75" customHeight="1">
      <c r="A26" s="20" t="s">
        <v>39</v>
      </c>
      <c r="B26" s="30" t="s">
        <v>85</v>
      </c>
      <c r="C26" s="30" t="s">
        <v>379</v>
      </c>
      <c r="D26" s="30" t="s">
        <v>83</v>
      </c>
      <c r="E26" s="30" t="s">
        <v>86</v>
      </c>
      <c r="F26" s="30" t="s">
        <v>1783</v>
      </c>
      <c r="G26" s="30" t="s">
        <v>1784</v>
      </c>
      <c r="H26" s="30" t="s">
        <v>1785</v>
      </c>
      <c r="I26" s="30" t="s">
        <v>1786</v>
      </c>
      <c r="J26" s="30" t="s">
        <v>23</v>
      </c>
      <c r="K26" s="20" t="s">
        <v>1787</v>
      </c>
    </row>
    <row r="27" ht="12.75" customHeight="1">
      <c r="A27" s="21" t="s">
        <v>339</v>
      </c>
      <c r="B27" s="131">
        <v>621000</v>
      </c>
      <c r="C27" s="131">
        <v>585000</v>
      </c>
      <c r="D27" s="132">
        <f t="shared" si="2"/>
        <v>36000</v>
      </c>
      <c r="E27" s="133">
        <f t="shared" si="6" ref="E27:I39">IF(C27=0,0,(B27-C27)/C27)</f>
        <v>0.0615384615384615</v>
      </c>
      <c r="F27" s="131" cm="1">
        <f t="array" ref="F27">IF(B27="—",0,B27)</f>
        <v>621000</v>
      </c>
      <c r="G27" s="131" cm="1">
        <f t="array" ref="G27">C27</f>
        <v>585000</v>
      </c>
      <c r="H27" s="132">
        <f t="shared" si="2"/>
        <v>36000</v>
      </c>
      <c r="I27" s="133">
        <f t="shared" si="6"/>
        <v>0.0615384615384615</v>
      </c>
      <c r="J27" s="106" t="str">
        <f t="shared" si="3"/>
        <v>✓</v>
      </c>
      <c r="K27" s="103" t="s">
        <v>1788</v>
      </c>
    </row>
    <row r="28" ht="12.75" customHeight="1">
      <c r="A28" s="21" t="s">
        <v>341</v>
      </c>
      <c r="B28" s="149" t="s">
        <v>342</v>
      </c>
      <c r="C28" s="131">
        <v>590000</v>
      </c>
      <c r="D28" s="149" t="s">
        <v>342</v>
      </c>
      <c r="E28" s="149" t="s">
        <v>342</v>
      </c>
      <c r="F28" s="131" cm="1">
        <f t="array" ref="F28">IF(B28="—",F27,F27+B28)</f>
        <v>621000</v>
      </c>
      <c r="G28" s="131">
        <f t="shared" si="7" ref="G28:G38">G27+C28</f>
        <v>1175000</v>
      </c>
      <c r="H28" s="132">
        <f t="shared" si="2"/>
        <v>-554000</v>
      </c>
      <c r="I28" s="133">
        <f t="shared" si="6"/>
        <v>-0.471489361702128</v>
      </c>
      <c r="J28" s="106" t="str">
        <f t="shared" si="3"/>
        <v>✗</v>
      </c>
      <c r="K28" s="103" t="s">
        <v>1789</v>
      </c>
    </row>
    <row r="29" ht="12.75" customHeight="1">
      <c r="A29" s="21" t="s">
        <v>344</v>
      </c>
      <c r="B29" s="149" t="s">
        <v>342</v>
      </c>
      <c r="C29" s="131">
        <v>605000</v>
      </c>
      <c r="D29" s="149" t="s">
        <v>342</v>
      </c>
      <c r="E29" s="149" t="s">
        <v>342</v>
      </c>
      <c r="F29" s="131" cm="1">
        <f t="array" ref="F29">IF(B29="—",F28,F28+B29)</f>
        <v>621000</v>
      </c>
      <c r="G29" s="131">
        <f t="shared" si="7"/>
        <v>1780000</v>
      </c>
      <c r="H29" s="132">
        <f t="shared" si="2"/>
        <v>-1159000</v>
      </c>
      <c r="I29" s="133">
        <f t="shared" si="6"/>
        <v>-0.651123595505618</v>
      </c>
      <c r="J29" s="106" t="str">
        <f t="shared" si="3"/>
        <v>✗</v>
      </c>
      <c r="K29" s="103" t="s">
        <v>1790</v>
      </c>
    </row>
    <row r="30" ht="12.75" customHeight="1">
      <c r="A30" s="21" t="s">
        <v>1791</v>
      </c>
      <c r="B30" s="149" t="s">
        <v>342</v>
      </c>
      <c r="C30" s="131">
        <v>615000</v>
      </c>
      <c r="D30" s="149" t="s">
        <v>342</v>
      </c>
      <c r="E30" s="149" t="s">
        <v>342</v>
      </c>
      <c r="F30" s="131" cm="1">
        <f t="array" ref="F30">IF(B30="—",F29,F29+B30)</f>
        <v>621000</v>
      </c>
      <c r="G30" s="131">
        <f t="shared" si="7"/>
        <v>2395000</v>
      </c>
      <c r="H30" s="132">
        <f t="shared" si="2"/>
        <v>-1774000</v>
      </c>
      <c r="I30" s="133">
        <f t="shared" si="6"/>
        <v>-0.740709812108559</v>
      </c>
      <c r="J30" s="106" t="str">
        <f t="shared" si="3"/>
        <v>✗</v>
      </c>
      <c r="K30" s="103" t="s">
        <v>1792</v>
      </c>
    </row>
    <row r="31" ht="12.75" customHeight="1">
      <c r="A31" s="21" t="s">
        <v>1793</v>
      </c>
      <c r="B31" s="149" t="s">
        <v>342</v>
      </c>
      <c r="C31" s="131">
        <v>625000</v>
      </c>
      <c r="D31" s="149" t="s">
        <v>342</v>
      </c>
      <c r="E31" s="149" t="s">
        <v>342</v>
      </c>
      <c r="F31" s="131" cm="1">
        <f t="array" ref="F31">IF(B31="—",F30,F30+B31)</f>
        <v>621000</v>
      </c>
      <c r="G31" s="131">
        <f t="shared" si="7"/>
        <v>3020000</v>
      </c>
      <c r="H31" s="132">
        <f t="shared" si="2"/>
        <v>-2399000</v>
      </c>
      <c r="I31" s="133">
        <f t="shared" si="6"/>
        <v>-0.794370860927152</v>
      </c>
      <c r="J31" s="106" t="str">
        <f t="shared" si="3"/>
        <v>✗</v>
      </c>
      <c r="K31" s="103" t="s">
        <v>1794</v>
      </c>
    </row>
    <row r="32" ht="12.75" customHeight="1">
      <c r="A32" s="21" t="s">
        <v>1795</v>
      </c>
      <c r="B32" s="149" t="s">
        <v>342</v>
      </c>
      <c r="C32" s="131">
        <v>620000</v>
      </c>
      <c r="D32" s="149" t="s">
        <v>342</v>
      </c>
      <c r="E32" s="149" t="s">
        <v>342</v>
      </c>
      <c r="F32" s="131" cm="1">
        <f t="array" ref="F32">IF(B32="—",F31,F31+B32)</f>
        <v>621000</v>
      </c>
      <c r="G32" s="131">
        <f t="shared" si="7"/>
        <v>3640000</v>
      </c>
      <c r="H32" s="132">
        <f t="shared" si="2"/>
        <v>-3019000</v>
      </c>
      <c r="I32" s="133">
        <f t="shared" si="6"/>
        <v>-0.829395604395604</v>
      </c>
      <c r="J32" s="106" t="str">
        <f t="shared" si="3"/>
        <v>✗</v>
      </c>
      <c r="K32" s="103" t="s">
        <v>1796</v>
      </c>
    </row>
    <row r="33" ht="12.75" customHeight="1">
      <c r="A33" s="21" t="s">
        <v>1797</v>
      </c>
      <c r="B33" s="149" t="s">
        <v>342</v>
      </c>
      <c r="C33" s="131">
        <v>610000</v>
      </c>
      <c r="D33" s="149" t="s">
        <v>342</v>
      </c>
      <c r="E33" s="149" t="s">
        <v>342</v>
      </c>
      <c r="F33" s="131" cm="1">
        <f t="array" ref="F33">IF(B33="—",F32,F32+B33)</f>
        <v>621000</v>
      </c>
      <c r="G33" s="131">
        <f t="shared" si="7"/>
        <v>4250000</v>
      </c>
      <c r="H33" s="132">
        <f t="shared" si="2"/>
        <v>-3629000</v>
      </c>
      <c r="I33" s="133">
        <f t="shared" si="6"/>
        <v>-0.853882352941176</v>
      </c>
      <c r="J33" s="106" t="str">
        <f t="shared" si="3"/>
        <v>✗</v>
      </c>
      <c r="K33" s="103" t="s">
        <v>1798</v>
      </c>
    </row>
    <row r="34" ht="12.75" customHeight="1">
      <c r="A34" s="21" t="s">
        <v>1799</v>
      </c>
      <c r="B34" s="149" t="s">
        <v>342</v>
      </c>
      <c r="C34" s="131">
        <v>605000</v>
      </c>
      <c r="D34" s="149" t="s">
        <v>342</v>
      </c>
      <c r="E34" s="149" t="s">
        <v>342</v>
      </c>
      <c r="F34" s="131" cm="1">
        <f t="array" ref="F34">IF(B34="—",F33,F33+B34)</f>
        <v>621000</v>
      </c>
      <c r="G34" s="131">
        <f t="shared" si="7"/>
        <v>4855000</v>
      </c>
      <c r="H34" s="132">
        <f t="shared" si="2"/>
        <v>-4234000</v>
      </c>
      <c r="I34" s="133">
        <f t="shared" si="6"/>
        <v>-0.872090628218332</v>
      </c>
      <c r="J34" s="106" t="str">
        <f t="shared" si="3"/>
        <v>✗</v>
      </c>
      <c r="K34" s="103" t="s">
        <v>1800</v>
      </c>
    </row>
    <row r="35" ht="12.75" customHeight="1">
      <c r="A35" s="21" t="s">
        <v>1801</v>
      </c>
      <c r="B35" s="149" t="s">
        <v>342</v>
      </c>
      <c r="C35" s="131">
        <v>595000</v>
      </c>
      <c r="D35" s="149" t="s">
        <v>342</v>
      </c>
      <c r="E35" s="149" t="s">
        <v>342</v>
      </c>
      <c r="F35" s="131" cm="1">
        <f t="array" ref="F35">IF(B35="—",F34,F34+B35)</f>
        <v>621000</v>
      </c>
      <c r="G35" s="131">
        <f t="shared" si="7"/>
        <v>5450000</v>
      </c>
      <c r="H35" s="132">
        <f t="shared" si="2"/>
        <v>-4829000</v>
      </c>
      <c r="I35" s="133">
        <f t="shared" si="6"/>
        <v>-0.88605504587156</v>
      </c>
      <c r="J35" s="106" t="str">
        <f t="shared" si="3"/>
        <v>✗</v>
      </c>
      <c r="K35" s="103" t="s">
        <v>1802</v>
      </c>
    </row>
    <row r="36" ht="12.75" customHeight="1">
      <c r="A36" s="21" t="s">
        <v>1803</v>
      </c>
      <c r="B36" s="149" t="s">
        <v>342</v>
      </c>
      <c r="C36" s="131">
        <v>590000</v>
      </c>
      <c r="D36" s="149" t="s">
        <v>342</v>
      </c>
      <c r="E36" s="149" t="s">
        <v>342</v>
      </c>
      <c r="F36" s="131" cm="1">
        <f t="array" ref="F36">IF(B36="—",F35,F35+B36)</f>
        <v>621000</v>
      </c>
      <c r="G36" s="131">
        <f t="shared" si="7"/>
        <v>6040000</v>
      </c>
      <c r="H36" s="132">
        <f t="shared" si="2"/>
        <v>-5419000</v>
      </c>
      <c r="I36" s="133">
        <f t="shared" si="6"/>
        <v>-0.897185430463576</v>
      </c>
      <c r="J36" s="106" t="str">
        <f t="shared" si="3"/>
        <v>✗</v>
      </c>
      <c r="K36" s="103" t="s">
        <v>1804</v>
      </c>
    </row>
    <row r="37" ht="12.75" customHeight="1">
      <c r="A37" s="21" t="s">
        <v>1805</v>
      </c>
      <c r="B37" s="149" t="s">
        <v>342</v>
      </c>
      <c r="C37" s="131">
        <v>580000</v>
      </c>
      <c r="D37" s="149" t="s">
        <v>342</v>
      </c>
      <c r="E37" s="149" t="s">
        <v>342</v>
      </c>
      <c r="F37" s="131" cm="1">
        <f t="array" ref="F37">IF(B37="—",F36,F36+B37)</f>
        <v>621000</v>
      </c>
      <c r="G37" s="131">
        <f t="shared" si="7"/>
        <v>6620000</v>
      </c>
      <c r="H37" s="132">
        <f t="shared" si="2"/>
        <v>-5999000</v>
      </c>
      <c r="I37" s="133">
        <f t="shared" si="6"/>
        <v>-0.90619335347432</v>
      </c>
      <c r="J37" s="106" t="str">
        <f t="shared" si="3"/>
        <v>✗</v>
      </c>
      <c r="K37" s="103" t="s">
        <v>1806</v>
      </c>
    </row>
    <row r="38" ht="12.75" customHeight="1">
      <c r="A38" s="21" t="s">
        <v>1807</v>
      </c>
      <c r="B38" s="149" t="s">
        <v>342</v>
      </c>
      <c r="C38" s="131">
        <v>575000</v>
      </c>
      <c r="D38" s="149" t="s">
        <v>342</v>
      </c>
      <c r="E38" s="149" t="s">
        <v>342</v>
      </c>
      <c r="F38" s="131" cm="1">
        <f t="array" ref="F38">IF(B38="—",F37,F37+B38)</f>
        <v>621000</v>
      </c>
      <c r="G38" s="131">
        <f t="shared" si="7"/>
        <v>7195000</v>
      </c>
      <c r="H38" s="132">
        <f t="shared" si="2"/>
        <v>-6574000</v>
      </c>
      <c r="I38" s="133">
        <f t="shared" si="6"/>
        <v>-0.913690062543433</v>
      </c>
      <c r="J38" s="106" t="str">
        <f t="shared" si="3"/>
        <v>✗</v>
      </c>
      <c r="K38" s="103" t="s">
        <v>1808</v>
      </c>
    </row>
    <row r="39" ht="12.75" customHeight="1">
      <c r="A39" s="407" t="s">
        <v>1809</v>
      </c>
      <c r="B39" s="408">
        <f>SUMIF(B27:B38,"&lt;&gt;—")</f>
        <v>621000</v>
      </c>
      <c r="C39" s="408">
        <f t="shared" si="5"/>
        <v>7195000</v>
      </c>
      <c r="D39" s="409">
        <f t="shared" si="2"/>
        <v>-6574000</v>
      </c>
      <c r="E39" s="410">
        <f t="shared" si="6"/>
        <v>-0.913690062543433</v>
      </c>
      <c r="F39" s="408" cm="1">
        <f t="array" ref="F39">F38</f>
        <v>621000</v>
      </c>
      <c r="G39" s="408" cm="1">
        <f t="array" ref="G39">G38</f>
        <v>7195000</v>
      </c>
      <c r="H39" s="409">
        <f t="shared" si="2"/>
        <v>-6574000</v>
      </c>
      <c r="I39" s="410">
        <f t="shared" si="6"/>
        <v>-0.913690062543433</v>
      </c>
      <c r="J39" s="411" t="str">
        <f t="shared" si="3"/>
        <v>✗</v>
      </c>
      <c r="K39" s="412" t="s">
        <v>1810</v>
      </c>
    </row>
    <row r="40" ht="1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ht="15" customHeight="1">
      <c r="A41" s="43" t="s">
        <v>1811</v>
      </c>
      <c r="B41" s="3"/>
      <c r="C41" s="3"/>
      <c r="D41" s="3"/>
      <c r="E41" s="3"/>
      <c r="F41" s="3"/>
      <c r="G41" s="3"/>
      <c r="H41" s="3"/>
      <c r="I41" s="3"/>
      <c r="J41" s="3"/>
      <c r="K41" s="3"/>
    </row>
    <row r="42" ht="12.75" customHeight="1">
      <c r="A42" s="20" t="s">
        <v>92</v>
      </c>
      <c r="B42" s="20" t="s">
        <v>350</v>
      </c>
      <c r="C42" s="20" t="s">
        <v>93</v>
      </c>
      <c r="D42" s="20"/>
      <c r="E42" s="20"/>
      <c r="F42" s="20"/>
      <c r="G42" s="20"/>
      <c r="H42" s="20"/>
      <c r="I42" s="20"/>
      <c r="J42" s="20" t="s">
        <v>412</v>
      </c>
      <c r="K42" s="20" t="s">
        <v>491</v>
      </c>
    </row>
    <row r="43" ht="12.75" customHeight="1">
      <c r="A43" s="52" t="s">
        <v>1812</v>
      </c>
      <c r="B43" s="413">
        <v>42000</v>
      </c>
      <c r="C43" s="21" t="s">
        <v>1813</v>
      </c>
      <c r="D43" s="21"/>
      <c r="E43" s="21"/>
      <c r="F43" s="21"/>
      <c r="G43" s="21"/>
      <c r="H43" s="21"/>
      <c r="I43" s="21"/>
      <c r="J43" s="106" t="s">
        <v>694</v>
      </c>
      <c r="K43" s="106" t="s">
        <v>1814</v>
      </c>
    </row>
    <row r="44" ht="12.75" customHeight="1">
      <c r="A44" s="52" t="s">
        <v>1812</v>
      </c>
      <c r="B44" s="413">
        <v>15000</v>
      </c>
      <c r="C44" s="21" t="s">
        <v>1815</v>
      </c>
      <c r="D44" s="21"/>
      <c r="E44" s="21"/>
      <c r="F44" s="21"/>
      <c r="G44" s="21"/>
      <c r="H44" s="21"/>
      <c r="I44" s="21"/>
      <c r="J44" s="106" t="s">
        <v>692</v>
      </c>
      <c r="K44" s="106" t="s">
        <v>1814</v>
      </c>
    </row>
    <row r="45" ht="12.75" customHeight="1">
      <c r="A45" s="53" t="s">
        <v>1816</v>
      </c>
      <c r="B45" s="413">
        <v>-5000</v>
      </c>
      <c r="C45" s="21" t="s">
        <v>1817</v>
      </c>
      <c r="D45" s="21"/>
      <c r="E45" s="21"/>
      <c r="F45" s="21"/>
      <c r="G45" s="21"/>
      <c r="H45" s="21"/>
      <c r="I45" s="21"/>
      <c r="J45" s="106" t="s">
        <v>1818</v>
      </c>
      <c r="K45" s="106" t="s">
        <v>1819</v>
      </c>
    </row>
    <row r="46" ht="12.75" customHeight="1">
      <c r="A46" s="53" t="s">
        <v>1816</v>
      </c>
      <c r="B46" s="413">
        <v>-2000</v>
      </c>
      <c r="C46" s="21" t="s">
        <v>1820</v>
      </c>
      <c r="D46" s="21"/>
      <c r="E46" s="21"/>
      <c r="F46" s="21"/>
      <c r="G46" s="21"/>
      <c r="H46" s="21"/>
      <c r="I46" s="21"/>
      <c r="J46" s="106" t="s">
        <v>355</v>
      </c>
      <c r="K46" s="106" t="s">
        <v>1821</v>
      </c>
    </row>
    <row r="47" ht="12.75" customHeight="1">
      <c r="A47" s="414" t="s">
        <v>1822</v>
      </c>
      <c r="B47" s="413">
        <v>-3000</v>
      </c>
      <c r="C47" s="21" t="s">
        <v>1823</v>
      </c>
      <c r="D47" s="21"/>
      <c r="E47" s="21"/>
      <c r="F47" s="21"/>
      <c r="G47" s="21"/>
      <c r="H47" s="21"/>
      <c r="I47" s="21"/>
      <c r="J47" s="106" t="s">
        <v>1824</v>
      </c>
      <c r="K47" s="106" t="s">
        <v>1825</v>
      </c>
    </row>
    <row r="48" ht="12.75" customHeight="1">
      <c r="A48" s="415" t="s">
        <v>1826</v>
      </c>
      <c r="B48" s="416" t="s">
        <v>1287</v>
      </c>
      <c r="C48" s="21" t="s">
        <v>1827</v>
      </c>
      <c r="D48" s="21"/>
      <c r="E48" s="21"/>
      <c r="F48" s="21"/>
      <c r="G48" s="21"/>
      <c r="H48" s="21"/>
      <c r="I48" s="21"/>
      <c r="J48" s="106" t="s">
        <v>1828</v>
      </c>
      <c r="K48" s="106" t="s">
        <v>1829</v>
      </c>
    </row>
    <row r="49" ht="1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ht="12.75" customHeight="1">
      <c r="A50" s="55" t="s">
        <v>284</v>
      </c>
      <c r="B50" s="55" t="s">
        <v>1830</v>
      </c>
      <c r="C50" s="8"/>
      <c r="D50" s="8"/>
      <c r="E50" s="55" t="s">
        <v>282</v>
      </c>
      <c r="F50" s="55" t="str">
        <f>TEXT(NOW(),"mmmm d, yyyy h:mm AM/PM")</f>
        <v>January 12, 2026 9:41 AM</v>
      </c>
      <c r="G50" s="55"/>
      <c r="H50" s="8"/>
      <c r="I50" s="8"/>
      <c r="J50" s="55" t="s">
        <v>1831</v>
      </c>
      <c r="K50" s="55" t="s">
        <v>1832</v>
      </c>
    </row>
  </sheetData>
  <mergeCells>
    <mergeCell ref="A1:K1"/>
    <mergeCell ref="A2:K2"/>
    <mergeCell ref="A4:K4"/>
    <mergeCell ref="A9:K9"/>
    <mergeCell ref="A25:K25"/>
    <mergeCell ref="A41:K41"/>
    <mergeCell ref="C42:I42"/>
    <mergeCell ref="C43:I43"/>
    <mergeCell ref="C44:I44"/>
    <mergeCell ref="C45:I45"/>
    <mergeCell ref="C46:I46"/>
    <mergeCell ref="C47:I47"/>
    <mergeCell ref="C48:I48"/>
    <mergeCell ref="F50:G50"/>
  </mergeCells>
  <hyperlinks>
    <hyperlink ref="L1" r:id="rId1" display="← Back to Alerts"/>
  </hyperlink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0F469F8-5C9D-EF38-E28B-7059ECB7FA58}" mc:Ignorable="x14ac xr xr2 xr3">
  <dimension ref="A1:GR50000"/>
  <sheetViews>
    <sheetView showGridLines="0" topLeftCell="A1" workbookViewId="0">
      <selection activeCell="A1" sqref="A1"/>
    </sheetView>
  </sheetViews>
  <sheetFormatPr defaultRowHeight="15" defaultColWidth="7.75390625" customHeight="1"/>
  <cols>
    <col min="1" max="1" width="18.75390625" customWidth="1"/>
  </cols>
  <sheetData>
    <row r="1" ht="19.5" customHeight="1">
      <c r="A1" s="340" t="s">
        <v>1833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</row>
    <row r="3" ht="16.5" customHeight="1">
      <c r="A3" s="222" t="s">
        <v>1834</v>
      </c>
      <c r="B3" s="222"/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P3" s="225" t="s">
        <v>1835</v>
      </c>
    </row>
    <row r="4" ht="19.5" customHeight="1">
      <c r="A4" s="417" t="s">
        <v>1836</v>
      </c>
      <c r="B4" s="417" t="s">
        <v>339</v>
      </c>
      <c r="C4" s="417" t="s">
        <v>341</v>
      </c>
      <c r="D4" s="417" t="s">
        <v>344</v>
      </c>
      <c r="E4" s="417" t="s">
        <v>1791</v>
      </c>
      <c r="F4" s="417" t="s">
        <v>1793</v>
      </c>
      <c r="G4" s="417" t="s">
        <v>1795</v>
      </c>
      <c r="H4" s="417" t="s">
        <v>1797</v>
      </c>
      <c r="I4" s="417" t="s">
        <v>1799</v>
      </c>
      <c r="J4" s="417" t="s">
        <v>1801</v>
      </c>
      <c r="K4" s="417" t="s">
        <v>1803</v>
      </c>
      <c r="L4" s="417" t="s">
        <v>1805</v>
      </c>
      <c r="M4" s="417" t="s">
        <v>1807</v>
      </c>
      <c r="N4" s="417" t="s">
        <v>1637</v>
      </c>
      <c r="P4" s="211" t="s">
        <v>1837</v>
      </c>
      <c r="Q4" s="230" cm="1">
        <f t="array" ref="Q4">N11</f>
        <v>3650000</v>
      </c>
    </row>
    <row r="5" ht="19.5" customHeight="1">
      <c r="A5" s="418" t="s">
        <v>1838</v>
      </c>
      <c r="P5" s="211" t="s">
        <v>1839</v>
      </c>
      <c r="Q5" s="230" cm="1">
        <f t="array" ref="Q5">N19</f>
        <v>-2026800</v>
      </c>
    </row>
    <row r="6" ht="19.5" customHeight="1">
      <c r="A6" s="211" t="s">
        <v>1283</v>
      </c>
      <c r="B6" s="185">
        <v>485000</v>
      </c>
      <c r="C6" s="185">
        <v>488000</v>
      </c>
      <c r="D6" s="185">
        <v>492000</v>
      </c>
      <c r="E6" s="185">
        <v>495000</v>
      </c>
      <c r="F6" s="185">
        <v>498000</v>
      </c>
      <c r="G6" s="185">
        <v>502000</v>
      </c>
      <c r="H6" s="185">
        <v>505000</v>
      </c>
      <c r="I6" s="185">
        <v>508000</v>
      </c>
      <c r="J6" s="185">
        <v>512000</v>
      </c>
      <c r="K6" s="185">
        <v>515000</v>
      </c>
      <c r="L6" s="185">
        <v>518000</v>
      </c>
      <c r="M6" s="185">
        <v>522000</v>
      </c>
      <c r="N6" s="185">
        <f t="shared" si="1" ref="N6:N23">SUM(B6:M6)</f>
        <v>6040000</v>
      </c>
      <c r="P6" s="211" t="s">
        <v>1840</v>
      </c>
      <c r="Q6" s="230" cm="1">
        <f t="array" ref="Q6">N23</f>
        <v>1352200</v>
      </c>
    </row>
    <row r="7" ht="19.5" customHeight="1">
      <c r="A7" s="211" t="s">
        <v>1841</v>
      </c>
      <c r="B7" s="185">
        <f t="shared" si="0" ref="B7:M7">-B6*0.05</f>
        <v>-24250</v>
      </c>
      <c r="C7" s="185">
        <f t="shared" si="0"/>
        <v>-24400</v>
      </c>
      <c r="D7" s="185">
        <f t="shared" si="0"/>
        <v>-24600</v>
      </c>
      <c r="E7" s="185">
        <f t="shared" si="0"/>
        <v>-24750</v>
      </c>
      <c r="F7" s="185">
        <f t="shared" si="0"/>
        <v>-24900</v>
      </c>
      <c r="G7" s="185">
        <f t="shared" si="0"/>
        <v>-25100</v>
      </c>
      <c r="H7" s="185">
        <f t="shared" si="0"/>
        <v>-25250</v>
      </c>
      <c r="I7" s="185">
        <f t="shared" si="0"/>
        <v>-25400</v>
      </c>
      <c r="J7" s="185">
        <f t="shared" si="0"/>
        <v>-25600</v>
      </c>
      <c r="K7" s="185">
        <f t="shared" si="0"/>
        <v>-25750</v>
      </c>
      <c r="L7" s="185">
        <f t="shared" si="0"/>
        <v>-25900</v>
      </c>
      <c r="M7" s="185">
        <f t="shared" si="0"/>
        <v>-26100</v>
      </c>
      <c r="N7" s="185">
        <f t="shared" si="1"/>
        <v>-302000</v>
      </c>
      <c r="P7" s="211" t="s">
        <v>1842</v>
      </c>
      <c r="Q7" s="230" cm="1">
        <f t="array" ref="Q7">B24</f>
        <v>2500000</v>
      </c>
    </row>
    <row r="8" ht="19.5" customHeight="1">
      <c r="A8" s="211" t="s">
        <v>1843</v>
      </c>
      <c r="B8" s="185">
        <f t="shared" si="2" ref="B8:M19">B6+B7</f>
        <v>460750</v>
      </c>
      <c r="C8" s="185">
        <f t="shared" si="2"/>
        <v>463600</v>
      </c>
      <c r="D8" s="185">
        <f t="shared" si="2"/>
        <v>467400</v>
      </c>
      <c r="E8" s="185">
        <f t="shared" si="2"/>
        <v>470250</v>
      </c>
      <c r="F8" s="185">
        <f t="shared" si="2"/>
        <v>473100</v>
      </c>
      <c r="G8" s="185">
        <f t="shared" si="2"/>
        <v>476900</v>
      </c>
      <c r="H8" s="185">
        <f t="shared" si="2"/>
        <v>479750</v>
      </c>
      <c r="I8" s="185">
        <f t="shared" si="2"/>
        <v>482600</v>
      </c>
      <c r="J8" s="185">
        <f t="shared" si="2"/>
        <v>486400</v>
      </c>
      <c r="K8" s="185">
        <f t="shared" si="2"/>
        <v>489250</v>
      </c>
      <c r="L8" s="185">
        <f t="shared" si="2"/>
        <v>492100</v>
      </c>
      <c r="M8" s="185">
        <f t="shared" si="2"/>
        <v>495900</v>
      </c>
      <c r="N8" s="185">
        <f t="shared" si="1"/>
        <v>5738000</v>
      </c>
      <c r="P8" s="211" t="s">
        <v>1844</v>
      </c>
      <c r="Q8" s="230" cm="1">
        <f t="array" ref="Q8">N25</f>
        <v>3852200</v>
      </c>
    </row>
    <row r="9" ht="19.5" customHeight="1">
      <c r="A9" s="211" t="s">
        <v>1845</v>
      </c>
      <c r="B9" s="185">
        <v>18500</v>
      </c>
      <c r="C9" s="185">
        <v>18500</v>
      </c>
      <c r="D9" s="185">
        <v>18500</v>
      </c>
      <c r="E9" s="185">
        <v>18500</v>
      </c>
      <c r="F9" s="185">
        <v>18500</v>
      </c>
      <c r="G9" s="185">
        <v>18500</v>
      </c>
      <c r="H9" s="185">
        <v>18500</v>
      </c>
      <c r="I9" s="185">
        <v>18500</v>
      </c>
      <c r="J9" s="185">
        <v>18500</v>
      </c>
      <c r="K9" s="185">
        <v>18500</v>
      </c>
      <c r="L9" s="185">
        <v>18500</v>
      </c>
      <c r="M9" s="185">
        <v>18500</v>
      </c>
      <c r="N9" s="185">
        <f t="shared" si="1"/>
        <v>222000</v>
      </c>
      <c r="P9" s="211" t="s">
        <v>1846</v>
      </c>
      <c r="Q9" s="230">
        <f>Q8-Q7</f>
        <v>1352200</v>
      </c>
    </row>
    <row r="10" ht="19.5" customHeight="1">
      <c r="A10" s="211" t="s">
        <v>1847</v>
      </c>
      <c r="B10" s="185">
        <v>-185000</v>
      </c>
      <c r="C10" s="185">
        <v>-186000</v>
      </c>
      <c r="D10" s="185">
        <v>-187000</v>
      </c>
      <c r="E10" s="185">
        <v>-188000</v>
      </c>
      <c r="F10" s="185">
        <v>-190000</v>
      </c>
      <c r="G10" s="185">
        <v>-192000</v>
      </c>
      <c r="H10" s="185">
        <v>-194000</v>
      </c>
      <c r="I10" s="185">
        <v>-195000</v>
      </c>
      <c r="J10" s="185">
        <v>-196000</v>
      </c>
      <c r="K10" s="185">
        <v>-198000</v>
      </c>
      <c r="L10" s="185">
        <v>-199000</v>
      </c>
      <c r="M10" s="185">
        <v>-200000</v>
      </c>
      <c r="N10" s="185">
        <f t="shared" si="1"/>
        <v>-2310000</v>
      </c>
      <c r="P10" s="211" t="s">
        <v>1848</v>
      </c>
      <c r="Q10" s="231">
        <f>AVERAGE(B20:M20)</f>
        <v>1.80104224616226</v>
      </c>
    </row>
    <row r="11" ht="19.5" customHeight="1">
      <c r="A11" s="419" t="s">
        <v>1849</v>
      </c>
      <c r="B11" s="420">
        <f t="shared" si="3" ref="B11:M14">B8+B9+B10</f>
        <v>294250</v>
      </c>
      <c r="C11" s="420">
        <f t="shared" si="3"/>
        <v>296100</v>
      </c>
      <c r="D11" s="420">
        <f t="shared" si="3"/>
        <v>298900</v>
      </c>
      <c r="E11" s="420">
        <f t="shared" si="3"/>
        <v>300750</v>
      </c>
      <c r="F11" s="420">
        <f t="shared" si="3"/>
        <v>301600</v>
      </c>
      <c r="G11" s="420">
        <f t="shared" si="3"/>
        <v>303400</v>
      </c>
      <c r="H11" s="420">
        <f t="shared" si="3"/>
        <v>304250</v>
      </c>
      <c r="I11" s="420">
        <f t="shared" si="3"/>
        <v>306100</v>
      </c>
      <c r="J11" s="420">
        <f t="shared" si="3"/>
        <v>308900</v>
      </c>
      <c r="K11" s="420">
        <f t="shared" si="3"/>
        <v>309750</v>
      </c>
      <c r="L11" s="420">
        <f t="shared" si="3"/>
        <v>311600</v>
      </c>
      <c r="M11" s="420">
        <f t="shared" si="3"/>
        <v>314400</v>
      </c>
      <c r="N11" s="420">
        <f t="shared" si="1"/>
        <v>3650000</v>
      </c>
      <c r="P11" s="211" t="s">
        <v>1850</v>
      </c>
      <c r="Q11" s="234" cm="1">
        <f t="array" ref="Q11">B34</f>
        <v>14.801657785672</v>
      </c>
    </row>
    <row r="12" ht="15.75" customHeight="1">
      <c r="A12" s="211" t="s">
        <v>1851</v>
      </c>
      <c r="B12" s="185">
        <v>-25000</v>
      </c>
      <c r="C12" s="185">
        <v>-15000</v>
      </c>
      <c r="D12" s="185">
        <v>-20000</v>
      </c>
      <c r="E12" s="185">
        <v>-18000</v>
      </c>
      <c r="F12" s="185">
        <v>-22000</v>
      </c>
      <c r="G12" s="185">
        <v>-30000</v>
      </c>
      <c r="H12" s="185">
        <v>-35000</v>
      </c>
      <c r="I12" s="185">
        <v>-28000</v>
      </c>
      <c r="J12" s="185">
        <v>-20000</v>
      </c>
      <c r="K12" s="185">
        <v>-15000</v>
      </c>
      <c r="L12" s="185">
        <v>-18000</v>
      </c>
      <c r="M12" s="185">
        <v>-25000</v>
      </c>
      <c r="N12" s="185">
        <f t="shared" si="1"/>
        <v>-271000</v>
      </c>
    </row>
    <row r="13" ht="15.75" customHeight="1">
      <c r="A13" s="211" t="s">
        <v>1852</v>
      </c>
      <c r="B13" s="185">
        <v>-5000</v>
      </c>
      <c r="C13" s="185">
        <v>3000</v>
      </c>
      <c r="D13" s="185">
        <v>-2000</v>
      </c>
      <c r="E13" s="185">
        <v>4000</v>
      </c>
      <c r="F13" s="185">
        <v>-3000</v>
      </c>
      <c r="G13" s="185">
        <v>2000</v>
      </c>
      <c r="H13" s="185">
        <v>-4000</v>
      </c>
      <c r="I13" s="185">
        <v>3000</v>
      </c>
      <c r="J13" s="185">
        <v>-2000</v>
      </c>
      <c r="K13" s="185">
        <v>5000</v>
      </c>
      <c r="L13" s="185">
        <v>-3000</v>
      </c>
      <c r="M13" s="185">
        <v>2000</v>
      </c>
      <c r="N13" s="185">
        <f t="shared" si="1"/>
        <v>0</v>
      </c>
    </row>
    <row r="14" ht="13.5" customHeight="1">
      <c r="A14" s="421" t="s">
        <v>1853</v>
      </c>
      <c r="B14" s="422">
        <f t="shared" si="3"/>
        <v>264250</v>
      </c>
      <c r="C14" s="422">
        <f t="shared" si="3"/>
        <v>284100</v>
      </c>
      <c r="D14" s="422">
        <f t="shared" si="3"/>
        <v>276900</v>
      </c>
      <c r="E14" s="422">
        <f t="shared" si="3"/>
        <v>286750</v>
      </c>
      <c r="F14" s="422">
        <f t="shared" si="3"/>
        <v>276600</v>
      </c>
      <c r="G14" s="422">
        <f t="shared" si="3"/>
        <v>275400</v>
      </c>
      <c r="H14" s="422">
        <f t="shared" si="3"/>
        <v>265250</v>
      </c>
      <c r="I14" s="422">
        <f t="shared" si="3"/>
        <v>281100</v>
      </c>
      <c r="J14" s="422">
        <f t="shared" si="3"/>
        <v>286900</v>
      </c>
      <c r="K14" s="422">
        <f t="shared" si="3"/>
        <v>299750</v>
      </c>
      <c r="L14" s="422">
        <f t="shared" si="3"/>
        <v>290600</v>
      </c>
      <c r="M14" s="422">
        <f t="shared" si="3"/>
        <v>291400</v>
      </c>
      <c r="N14" s="422">
        <f t="shared" si="1"/>
        <v>3379000</v>
      </c>
    </row>
    <row r="16" ht="13.5" customHeight="1">
      <c r="A16" s="418" t="s">
        <v>1854</v>
      </c>
    </row>
    <row r="17" ht="15.75" customHeight="1">
      <c r="A17" s="211" t="s">
        <v>1855</v>
      </c>
      <c r="B17" s="185">
        <v>-125000</v>
      </c>
      <c r="C17" s="185">
        <v>-124800</v>
      </c>
      <c r="D17" s="185">
        <v>-124600</v>
      </c>
      <c r="E17" s="185">
        <v>-124400</v>
      </c>
      <c r="F17" s="185">
        <v>-124200</v>
      </c>
      <c r="G17" s="185">
        <v>-124000</v>
      </c>
      <c r="H17" s="185">
        <v>-123800</v>
      </c>
      <c r="I17" s="185">
        <v>-123600</v>
      </c>
      <c r="J17" s="185">
        <v>-123400</v>
      </c>
      <c r="K17" s="185">
        <v>-123200</v>
      </c>
      <c r="L17" s="185">
        <v>-123000</v>
      </c>
      <c r="M17" s="185">
        <v>-122800</v>
      </c>
      <c r="N17" s="185">
        <f t="shared" si="1"/>
        <v>-1486800</v>
      </c>
    </row>
    <row r="18" ht="15.75" customHeight="1">
      <c r="A18" s="211" t="s">
        <v>1856</v>
      </c>
      <c r="B18" s="185">
        <v>-45000</v>
      </c>
      <c r="C18" s="185">
        <v>-45000</v>
      </c>
      <c r="D18" s="185">
        <v>-45000</v>
      </c>
      <c r="E18" s="185">
        <v>-45000</v>
      </c>
      <c r="F18" s="185">
        <v>-45000</v>
      </c>
      <c r="G18" s="185">
        <v>-45000</v>
      </c>
      <c r="H18" s="185">
        <v>-45000</v>
      </c>
      <c r="I18" s="185">
        <v>-45000</v>
      </c>
      <c r="J18" s="185">
        <v>-45000</v>
      </c>
      <c r="K18" s="185">
        <v>-45000</v>
      </c>
      <c r="L18" s="185">
        <v>-45000</v>
      </c>
      <c r="M18" s="185">
        <v>-45000</v>
      </c>
      <c r="N18" s="185">
        <f t="shared" si="1"/>
        <v>-540000</v>
      </c>
    </row>
    <row r="19" ht="13.5" customHeight="1">
      <c r="A19" s="419" t="s">
        <v>1857</v>
      </c>
      <c r="B19" s="423">
        <f t="shared" si="2"/>
        <v>-170000</v>
      </c>
      <c r="C19" s="423">
        <f t="shared" si="2"/>
        <v>-169800</v>
      </c>
      <c r="D19" s="423">
        <f t="shared" si="2"/>
        <v>-169600</v>
      </c>
      <c r="E19" s="423">
        <f t="shared" si="2"/>
        <v>-169400</v>
      </c>
      <c r="F19" s="423">
        <f t="shared" si="2"/>
        <v>-169200</v>
      </c>
      <c r="G19" s="423">
        <f t="shared" si="2"/>
        <v>-169000</v>
      </c>
      <c r="H19" s="423">
        <f t="shared" si="2"/>
        <v>-168800</v>
      </c>
      <c r="I19" s="423">
        <f t="shared" si="2"/>
        <v>-168600</v>
      </c>
      <c r="J19" s="423">
        <f t="shared" si="2"/>
        <v>-168400</v>
      </c>
      <c r="K19" s="423">
        <f t="shared" si="2"/>
        <v>-168200</v>
      </c>
      <c r="L19" s="423">
        <f t="shared" si="2"/>
        <v>-168000</v>
      </c>
      <c r="M19" s="423">
        <f t="shared" si="2"/>
        <v>-167800</v>
      </c>
      <c r="N19" s="423">
        <f t="shared" si="1"/>
        <v>-2026800</v>
      </c>
    </row>
    <row r="20" ht="13.5" customHeight="1">
      <c r="A20" s="211" t="s">
        <v>1858</v>
      </c>
      <c r="B20" s="424">
        <f t="shared" si="4" ref="B20:N20">IF(B19=0,0,B11/-B19)</f>
        <v>1.73088235294118</v>
      </c>
      <c r="C20" s="424">
        <f t="shared" si="4"/>
        <v>1.74381625441696</v>
      </c>
      <c r="D20" s="424">
        <f t="shared" si="4"/>
        <v>1.7623820754717</v>
      </c>
      <c r="E20" s="424">
        <f t="shared" si="4"/>
        <v>1.77538370720189</v>
      </c>
      <c r="F20" s="424">
        <f t="shared" si="4"/>
        <v>1.78250591016548</v>
      </c>
      <c r="G20" s="424">
        <f t="shared" si="4"/>
        <v>1.79526627218935</v>
      </c>
      <c r="H20" s="424">
        <f t="shared" si="4"/>
        <v>1.80242890995261</v>
      </c>
      <c r="I20" s="424">
        <f t="shared" si="4"/>
        <v>1.81553973902728</v>
      </c>
      <c r="J20" s="424">
        <f t="shared" si="4"/>
        <v>1.83432304038005</v>
      </c>
      <c r="K20" s="424">
        <f t="shared" si="4"/>
        <v>1.84155766944114</v>
      </c>
      <c r="L20" s="424">
        <f t="shared" si="4"/>
        <v>1.8547619047619</v>
      </c>
      <c r="M20" s="424">
        <f t="shared" si="4"/>
        <v>1.87365911799762</v>
      </c>
      <c r="N20" s="424">
        <f t="shared" si="4"/>
        <v>1.80086836392343</v>
      </c>
    </row>
    <row r="22" ht="13.5" customHeight="1">
      <c r="A22" s="418" t="s">
        <v>1859</v>
      </c>
    </row>
    <row r="23" ht="13.5" customHeight="1">
      <c r="A23" s="425" t="s">
        <v>181</v>
      </c>
      <c r="B23" s="426">
        <f t="shared" si="5" ref="B23:M23">B14+B19</f>
        <v>94250</v>
      </c>
      <c r="C23" s="426">
        <f t="shared" si="5"/>
        <v>114300</v>
      </c>
      <c r="D23" s="426">
        <f t="shared" si="5"/>
        <v>107300</v>
      </c>
      <c r="E23" s="426">
        <f t="shared" si="5"/>
        <v>117350</v>
      </c>
      <c r="F23" s="426">
        <f t="shared" si="5"/>
        <v>107400</v>
      </c>
      <c r="G23" s="426">
        <f t="shared" si="5"/>
        <v>106400</v>
      </c>
      <c r="H23" s="426">
        <f t="shared" si="5"/>
        <v>96450</v>
      </c>
      <c r="I23" s="426">
        <f t="shared" si="5"/>
        <v>112500</v>
      </c>
      <c r="J23" s="426">
        <f t="shared" si="5"/>
        <v>118500</v>
      </c>
      <c r="K23" s="426">
        <f t="shared" si="5"/>
        <v>131550</v>
      </c>
      <c r="L23" s="426">
        <f t="shared" si="5"/>
        <v>122600</v>
      </c>
      <c r="M23" s="426">
        <f t="shared" si="5"/>
        <v>123600</v>
      </c>
      <c r="N23" s="426">
        <f t="shared" si="1"/>
        <v>1352200</v>
      </c>
    </row>
    <row r="24" ht="15.75" customHeight="1">
      <c r="A24" s="211" t="s">
        <v>1860</v>
      </c>
      <c r="B24" s="185">
        <v>2500000</v>
      </c>
      <c r="C24" s="185" cm="1">
        <f t="array" ref="C24">B25</f>
        <v>2594250</v>
      </c>
      <c r="D24" s="185" cm="1">
        <f t="array" ref="D24">C25</f>
        <v>2708550</v>
      </c>
      <c r="E24" s="185" cm="1">
        <f t="array" ref="E24">D25</f>
        <v>2815850</v>
      </c>
      <c r="F24" s="185" cm="1">
        <f t="array" ref="F24">E25</f>
        <v>2933200</v>
      </c>
      <c r="G24" s="185" cm="1">
        <f t="array" ref="G24">F25</f>
        <v>3040600</v>
      </c>
      <c r="H24" s="185" cm="1">
        <f t="array" ref="H24">G25</f>
        <v>3147000</v>
      </c>
      <c r="I24" s="185" cm="1">
        <f t="array" ref="I24">H25</f>
        <v>3243450</v>
      </c>
      <c r="J24" s="185" cm="1">
        <f t="array" ref="J24">I25</f>
        <v>3355950</v>
      </c>
      <c r="K24" s="185" cm="1">
        <f t="array" ref="K24">J25</f>
        <v>3474450</v>
      </c>
      <c r="L24" s="185" cm="1">
        <f t="array" ref="L24">K25</f>
        <v>3606000</v>
      </c>
      <c r="M24" s="185" cm="1">
        <f t="array" ref="M24">L25</f>
        <v>3728600</v>
      </c>
    </row>
    <row r="25" ht="13.5" customHeight="1">
      <c r="A25" s="427" t="s">
        <v>1861</v>
      </c>
      <c r="B25" s="428">
        <f t="shared" si="6" ref="B25:M25">B24+B23</f>
        <v>2594250</v>
      </c>
      <c r="C25" s="428">
        <f t="shared" si="6"/>
        <v>2708550</v>
      </c>
      <c r="D25" s="428">
        <f t="shared" si="6"/>
        <v>2815850</v>
      </c>
      <c r="E25" s="428">
        <f t="shared" si="6"/>
        <v>2933200</v>
      </c>
      <c r="F25" s="428">
        <f t="shared" si="6"/>
        <v>3040600</v>
      </c>
      <c r="G25" s="428">
        <f t="shared" si="6"/>
        <v>3147000</v>
      </c>
      <c r="H25" s="428">
        <f t="shared" si="6"/>
        <v>3243450</v>
      </c>
      <c r="I25" s="428">
        <f t="shared" si="6"/>
        <v>3355950</v>
      </c>
      <c r="J25" s="428">
        <f t="shared" si="6"/>
        <v>3474450</v>
      </c>
      <c r="K25" s="428">
        <f t="shared" si="6"/>
        <v>3606000</v>
      </c>
      <c r="L25" s="428">
        <f t="shared" si="6"/>
        <v>3728600</v>
      </c>
      <c r="M25" s="428">
        <f t="shared" si="6"/>
        <v>3852200</v>
      </c>
      <c r="N25" s="428" cm="1">
        <f t="array" ref="N25">M25</f>
        <v>3852200</v>
      </c>
    </row>
    <row r="26" ht="15.75" customHeight="1">
      <c r="A26" s="211" t="s">
        <v>1862</v>
      </c>
      <c r="B26" s="185">
        <v>500000</v>
      </c>
      <c r="C26" s="185">
        <v>500000</v>
      </c>
      <c r="D26" s="185">
        <v>500000</v>
      </c>
      <c r="E26" s="185">
        <v>500000</v>
      </c>
      <c r="F26" s="185">
        <v>500000</v>
      </c>
      <c r="G26" s="185">
        <v>500000</v>
      </c>
      <c r="H26" s="185">
        <v>500000</v>
      </c>
      <c r="I26" s="185">
        <v>500000</v>
      </c>
      <c r="J26" s="185">
        <v>500000</v>
      </c>
      <c r="K26" s="185">
        <v>500000</v>
      </c>
      <c r="L26" s="185">
        <v>500000</v>
      </c>
      <c r="M26" s="185">
        <v>500000</v>
      </c>
    </row>
    <row r="27" ht="15.75" customHeight="1">
      <c r="A27" s="211" t="s">
        <v>1863</v>
      </c>
      <c r="B27" s="185">
        <f t="shared" si="7" ref="B27:M27">B25-B26</f>
        <v>2094250</v>
      </c>
      <c r="C27" s="185">
        <f t="shared" si="7"/>
        <v>2208550</v>
      </c>
      <c r="D27" s="185">
        <f t="shared" si="7"/>
        <v>2315850</v>
      </c>
      <c r="E27" s="185">
        <f t="shared" si="7"/>
        <v>2433200</v>
      </c>
      <c r="F27" s="185">
        <f t="shared" si="7"/>
        <v>2540600</v>
      </c>
      <c r="G27" s="185">
        <f t="shared" si="7"/>
        <v>2647000</v>
      </c>
      <c r="H27" s="185">
        <f t="shared" si="7"/>
        <v>2743450</v>
      </c>
      <c r="I27" s="185">
        <f t="shared" si="7"/>
        <v>2855950</v>
      </c>
      <c r="J27" s="185">
        <f t="shared" si="7"/>
        <v>2974450</v>
      </c>
      <c r="K27" s="185">
        <f t="shared" si="7"/>
        <v>3106000</v>
      </c>
      <c r="L27" s="185">
        <f t="shared" si="7"/>
        <v>3228600</v>
      </c>
      <c r="M27" s="185">
        <f t="shared" si="7"/>
        <v>3352200</v>
      </c>
      <c r="N27" s="185" cm="1">
        <f t="array" ref="N27">M27</f>
        <v>3352200</v>
      </c>
    </row>
    <row r="29" ht="15.75" customHeight="1">
      <c r="A29" s="222" t="s">
        <v>1864</v>
      </c>
    </row>
    <row r="30" ht="13.5" customHeight="1">
      <c r="A30" s="210" t="s">
        <v>19</v>
      </c>
      <c r="B30" s="210" t="s">
        <v>517</v>
      </c>
      <c r="C30" s="210" t="s">
        <v>118</v>
      </c>
    </row>
    <row r="31" ht="13.5" customHeight="1">
      <c r="A31" s="211" t="s">
        <v>1865</v>
      </c>
      <c r="B31" s="363" cm="1">
        <f t="array" ref="B31">B24</f>
        <v>2500000</v>
      </c>
      <c r="C31" s="361" t="s">
        <v>1866</v>
      </c>
    </row>
    <row r="32" ht="13.5" customHeight="1">
      <c r="A32" s="211" t="s">
        <v>1867</v>
      </c>
      <c r="B32" s="363">
        <f>AVERAGE(B19:M19)</f>
        <v>-168900</v>
      </c>
      <c r="C32" s="361" t="s">
        <v>1868</v>
      </c>
    </row>
    <row r="33" ht="13.5" customHeight="1">
      <c r="A33" s="211" t="s">
        <v>1869</v>
      </c>
      <c r="B33" s="363">
        <f>AVERAGE(B23:M23)</f>
        <v>112683.333333333</v>
      </c>
      <c r="C33" s="361" t="s">
        <v>1870</v>
      </c>
    </row>
    <row r="34" ht="13.5" customHeight="1">
      <c r="A34" s="211" t="s">
        <v>1871</v>
      </c>
      <c r="B34" s="362">
        <f>IF(B32=0,0,B31/-B32)</f>
        <v>14.801657785672</v>
      </c>
      <c r="C34" s="361" t="s">
        <v>1872</v>
      </c>
    </row>
    <row r="35" ht="13.5" customHeight="1">
      <c r="A35" s="211" t="s">
        <v>1873</v>
      </c>
      <c r="B35" s="363" cm="1">
        <f t="array" ref="B35">N25</f>
        <v>3852200</v>
      </c>
      <c r="C35" s="361" t="s">
        <v>1874</v>
      </c>
    </row>
    <row r="36" ht="13.5" customHeight="1">
      <c r="A36" s="211" t="s">
        <v>1875</v>
      </c>
      <c r="B36" s="429">
        <f>MIN(B20:M20)</f>
        <v>1.73088235294118</v>
      </c>
      <c r="C36" s="361" t="s">
        <v>1876</v>
      </c>
    </row>
    <row r="37" ht="13.5" customHeight="1">
      <c r="A37" s="211" t="s">
        <v>1877</v>
      </c>
      <c r="B37" s="429">
        <f>AVERAGE(B20:M20)</f>
        <v>1.80104224616226</v>
      </c>
      <c r="C37" s="361" t="s">
        <v>1878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FCAE828-B698-B9B3-73C2-F778A8ECB978}" mc:Ignorable="x14ac xr xr2 xr3">
  <dimension ref="A1:GR50000"/>
  <sheetViews>
    <sheetView showGridLines="0" topLeftCell="A1" workbookViewId="0">
      <selection activeCell="A1" sqref="A1"/>
    </sheetView>
  </sheetViews>
  <sheetFormatPr defaultRowHeight="15" defaultColWidth="7.75390625" customHeight="1"/>
  <cols>
    <col min="1" max="1" width="18.75390625" customWidth="1"/>
  </cols>
  <sheetData>
    <row r="1" ht="19.5" customHeight="1">
      <c r="A1" s="340" t="s">
        <v>1879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</row>
    <row r="3" ht="15.75" customHeight="1">
      <c r="A3" s="222" t="s">
        <v>1880</v>
      </c>
      <c r="B3" s="222"/>
      <c r="C3" s="222"/>
      <c r="D3" s="222"/>
      <c r="E3" s="222"/>
      <c r="F3" s="222"/>
      <c r="G3" s="222"/>
      <c r="H3" s="222"/>
      <c r="I3" s="222"/>
      <c r="J3" s="222"/>
      <c r="K3" s="222"/>
      <c r="L3" s="222"/>
    </row>
    <row r="4" ht="13.5" customHeight="1">
      <c r="A4" s="210" t="s">
        <v>1881</v>
      </c>
      <c r="B4" s="210" t="s">
        <v>92</v>
      </c>
      <c r="C4" s="210" t="s">
        <v>379</v>
      </c>
      <c r="D4" s="210" t="s">
        <v>1882</v>
      </c>
      <c r="E4" s="210" t="s">
        <v>1883</v>
      </c>
      <c r="F4" s="210" t="s">
        <v>1884</v>
      </c>
      <c r="G4" s="210" t="s">
        <v>1885</v>
      </c>
      <c r="H4" s="210" t="s">
        <v>1886</v>
      </c>
      <c r="I4" s="210" t="s">
        <v>22</v>
      </c>
      <c r="J4" s="210" t="s">
        <v>1887</v>
      </c>
      <c r="K4" s="210" t="s">
        <v>23</v>
      </c>
    </row>
    <row r="5" ht="13.5" customHeight="1">
      <c r="A5" s="211" t="s">
        <v>1888</v>
      </c>
      <c r="B5" s="211" t="s">
        <v>1889</v>
      </c>
      <c r="C5" s="227">
        <v>185000</v>
      </c>
      <c r="D5" s="227">
        <v>175000</v>
      </c>
      <c r="E5" s="227">
        <v>142000</v>
      </c>
      <c r="F5" s="227">
        <f t="shared" si="0" ref="F5:F14">D5-E5</f>
        <v>33000</v>
      </c>
      <c r="G5" s="227">
        <f t="shared" si="1" ref="G5:G14">MAX(0,C5-D5)+F5</f>
        <v>43000</v>
      </c>
      <c r="H5" s="227">
        <f t="shared" si="2" ref="H5:H14">E5+G5</f>
        <v>185000</v>
      </c>
      <c r="I5" s="228">
        <f t="shared" si="3" ref="I5:I14">C5-H5</f>
        <v>0</v>
      </c>
      <c r="J5" s="215">
        <f t="shared" si="4" ref="J5:J15">IF(C5=0,0,E5/C5)</f>
        <v>0.767567567567568</v>
      </c>
      <c r="K5" s="213" t="str">
        <f t="shared" si="5" ref="K5:K14">IF(J5&gt;=1,"Complete",IF(J5&gt;=0.75,"In Progress",IF(D5&gt;0,"Committed","Planned")))</f>
        <v>In Progress</v>
      </c>
    </row>
    <row r="6" ht="13.5" customHeight="1">
      <c r="A6" s="211" t="s">
        <v>1890</v>
      </c>
      <c r="B6" s="211" t="s">
        <v>1889</v>
      </c>
      <c r="C6" s="227">
        <v>95000</v>
      </c>
      <c r="D6" s="227">
        <v>92000</v>
      </c>
      <c r="E6" s="227">
        <v>88000</v>
      </c>
      <c r="F6" s="227">
        <f t="shared" si="0"/>
        <v>4000</v>
      </c>
      <c r="G6" s="227">
        <f t="shared" si="1"/>
        <v>7000</v>
      </c>
      <c r="H6" s="227">
        <f t="shared" si="2"/>
        <v>95000</v>
      </c>
      <c r="I6" s="228">
        <f t="shared" si="3"/>
        <v>0</v>
      </c>
      <c r="J6" s="215">
        <f t="shared" si="4"/>
        <v>0.926315789473684</v>
      </c>
      <c r="K6" s="213" t="str">
        <f t="shared" si="5"/>
        <v>In Progress</v>
      </c>
    </row>
    <row r="7" ht="13.5" customHeight="1">
      <c r="A7" s="211" t="s">
        <v>1891</v>
      </c>
      <c r="B7" s="211" t="s">
        <v>1892</v>
      </c>
      <c r="C7" s="227">
        <v>125000</v>
      </c>
      <c r="D7" s="227">
        <v>118000</v>
      </c>
      <c r="E7" s="227">
        <v>65000</v>
      </c>
      <c r="F7" s="227">
        <f t="shared" si="0"/>
        <v>53000</v>
      </c>
      <c r="G7" s="227">
        <f t="shared" si="1"/>
        <v>60000</v>
      </c>
      <c r="H7" s="227">
        <f t="shared" si="2"/>
        <v>125000</v>
      </c>
      <c r="I7" s="228">
        <f t="shared" si="3"/>
        <v>0</v>
      </c>
      <c r="J7" s="215">
        <f t="shared" si="4"/>
        <v>0.52</v>
      </c>
      <c r="K7" s="213" t="str">
        <f t="shared" si="5"/>
        <v>Committed</v>
      </c>
    </row>
    <row r="8" ht="13.5" customHeight="1">
      <c r="A8" s="211" t="s">
        <v>1893</v>
      </c>
      <c r="B8" s="211" t="s">
        <v>1889</v>
      </c>
      <c r="C8" s="227">
        <v>320000</v>
      </c>
      <c r="D8" s="227">
        <v>285000</v>
      </c>
      <c r="E8" s="227">
        <v>180000</v>
      </c>
      <c r="F8" s="227">
        <f t="shared" si="0"/>
        <v>105000</v>
      </c>
      <c r="G8" s="227">
        <f t="shared" si="1"/>
        <v>140000</v>
      </c>
      <c r="H8" s="227">
        <f t="shared" si="2"/>
        <v>320000</v>
      </c>
      <c r="I8" s="228">
        <f t="shared" si="3"/>
        <v>0</v>
      </c>
      <c r="J8" s="215">
        <f t="shared" si="4"/>
        <v>0.5625</v>
      </c>
      <c r="K8" s="213" t="str">
        <f t="shared" si="5"/>
        <v>Committed</v>
      </c>
    </row>
    <row r="9" ht="13.5" customHeight="1">
      <c r="A9" s="211" t="s">
        <v>1894</v>
      </c>
      <c r="B9" s="211" t="s">
        <v>1892</v>
      </c>
      <c r="C9" s="227">
        <v>48000</v>
      </c>
      <c r="D9" s="227">
        <v>48000</v>
      </c>
      <c r="E9" s="227">
        <v>48000</v>
      </c>
      <c r="F9" s="227">
        <f t="shared" si="0"/>
        <v>0</v>
      </c>
      <c r="G9" s="227">
        <f t="shared" si="1"/>
        <v>0</v>
      </c>
      <c r="H9" s="227">
        <f t="shared" si="2"/>
        <v>48000</v>
      </c>
      <c r="I9" s="228">
        <f t="shared" si="3"/>
        <v>0</v>
      </c>
      <c r="J9" s="215">
        <f t="shared" si="4"/>
        <v>1</v>
      </c>
      <c r="K9" s="213" t="str">
        <f t="shared" si="5"/>
        <v>Complete</v>
      </c>
    </row>
    <row r="10" ht="13.5" customHeight="1">
      <c r="A10" s="211" t="s">
        <v>1895</v>
      </c>
      <c r="B10" s="211" t="s">
        <v>1896</v>
      </c>
      <c r="C10" s="227">
        <v>112500</v>
      </c>
      <c r="D10" s="227">
        <v>98000</v>
      </c>
      <c r="E10" s="227">
        <v>82500</v>
      </c>
      <c r="F10" s="227">
        <f t="shared" si="0"/>
        <v>15500</v>
      </c>
      <c r="G10" s="227">
        <f t="shared" si="1"/>
        <v>30000</v>
      </c>
      <c r="H10" s="227">
        <f t="shared" si="2"/>
        <v>112500</v>
      </c>
      <c r="I10" s="228">
        <f t="shared" si="3"/>
        <v>0</v>
      </c>
      <c r="J10" s="215">
        <f t="shared" si="4"/>
        <v>0.733333333333333</v>
      </c>
      <c r="K10" s="213" t="str">
        <f t="shared" si="5"/>
        <v>Committed</v>
      </c>
    </row>
    <row r="11" ht="13.5" customHeight="1">
      <c r="A11" s="211" t="s">
        <v>1897</v>
      </c>
      <c r="B11" s="211" t="s">
        <v>1898</v>
      </c>
      <c r="C11" s="227">
        <v>65000</v>
      </c>
      <c r="D11" s="227">
        <v>58000</v>
      </c>
      <c r="E11" s="227">
        <v>45000</v>
      </c>
      <c r="F11" s="227">
        <f t="shared" si="0"/>
        <v>13000</v>
      </c>
      <c r="G11" s="227">
        <f t="shared" si="1"/>
        <v>20000</v>
      </c>
      <c r="H11" s="227">
        <f t="shared" si="2"/>
        <v>65000</v>
      </c>
      <c r="I11" s="228">
        <f t="shared" si="3"/>
        <v>0</v>
      </c>
      <c r="J11" s="215">
        <f t="shared" si="4"/>
        <v>0.692307692307692</v>
      </c>
      <c r="K11" s="213" t="str">
        <f t="shared" si="5"/>
        <v>Committed</v>
      </c>
    </row>
    <row r="12" ht="13.5" customHeight="1">
      <c r="A12" s="211" t="s">
        <v>1899</v>
      </c>
      <c r="B12" s="211" t="s">
        <v>1892</v>
      </c>
      <c r="C12" s="227">
        <v>38000</v>
      </c>
      <c r="D12" s="227">
        <v>32000</v>
      </c>
      <c r="E12" s="227">
        <v>28000</v>
      </c>
      <c r="F12" s="227">
        <f t="shared" si="0"/>
        <v>4000</v>
      </c>
      <c r="G12" s="227">
        <f t="shared" si="1"/>
        <v>10000</v>
      </c>
      <c r="H12" s="227">
        <f t="shared" si="2"/>
        <v>38000</v>
      </c>
      <c r="I12" s="228">
        <f t="shared" si="3"/>
        <v>0</v>
      </c>
      <c r="J12" s="215">
        <f t="shared" si="4"/>
        <v>0.736842105263158</v>
      </c>
      <c r="K12" s="213" t="str">
        <f t="shared" si="5"/>
        <v>Committed</v>
      </c>
    </row>
    <row r="13" ht="13.5" customHeight="1">
      <c r="A13" s="211" t="s">
        <v>1900</v>
      </c>
      <c r="B13" s="211" t="s">
        <v>1898</v>
      </c>
      <c r="C13" s="227">
        <v>28000</v>
      </c>
      <c r="D13" s="227">
        <v>22000</v>
      </c>
      <c r="E13" s="227">
        <v>18000</v>
      </c>
      <c r="F13" s="227">
        <f t="shared" si="0"/>
        <v>4000</v>
      </c>
      <c r="G13" s="227">
        <f t="shared" si="1"/>
        <v>10000</v>
      </c>
      <c r="H13" s="227">
        <f t="shared" si="2"/>
        <v>28000</v>
      </c>
      <c r="I13" s="228">
        <f t="shared" si="3"/>
        <v>0</v>
      </c>
      <c r="J13" s="215">
        <f t="shared" si="4"/>
        <v>0.642857142857143</v>
      </c>
      <c r="K13" s="213" t="str">
        <f t="shared" si="5"/>
        <v>Committed</v>
      </c>
    </row>
    <row r="14" ht="13.5" customHeight="1">
      <c r="A14" s="211" t="s">
        <v>1901</v>
      </c>
      <c r="B14" s="211" t="s">
        <v>1902</v>
      </c>
      <c r="C14" s="227">
        <v>75000</v>
      </c>
      <c r="D14" s="227">
        <v>0</v>
      </c>
      <c r="E14" s="227">
        <v>0</v>
      </c>
      <c r="F14" s="227">
        <f t="shared" si="0"/>
        <v>0</v>
      </c>
      <c r="G14" s="227">
        <f t="shared" si="1"/>
        <v>75000</v>
      </c>
      <c r="H14" s="227">
        <f t="shared" si="2"/>
        <v>75000</v>
      </c>
      <c r="I14" s="228">
        <f t="shared" si="3"/>
        <v>0</v>
      </c>
      <c r="J14" s="215">
        <f t="shared" si="4"/>
        <v>0</v>
      </c>
      <c r="K14" s="213" t="str">
        <f t="shared" si="5"/>
        <v>Planned</v>
      </c>
    </row>
    <row r="15" ht="13.5" customHeight="1">
      <c r="A15" s="430" t="s">
        <v>1637</v>
      </c>
      <c r="B15" s="430">
        <v>0</v>
      </c>
      <c r="C15" s="431">
        <f t="shared" si="6" ref="C15:I15">SUM(C5:C14)</f>
        <v>1091500</v>
      </c>
      <c r="D15" s="431">
        <f t="shared" si="6"/>
        <v>928000</v>
      </c>
      <c r="E15" s="431">
        <f t="shared" si="6"/>
        <v>696500</v>
      </c>
      <c r="F15" s="431">
        <f t="shared" si="6"/>
        <v>231500</v>
      </c>
      <c r="G15" s="431">
        <f t="shared" si="6"/>
        <v>395000</v>
      </c>
      <c r="H15" s="431">
        <f t="shared" si="6"/>
        <v>1091500</v>
      </c>
      <c r="I15" s="432">
        <f t="shared" si="6"/>
        <v>0</v>
      </c>
      <c r="J15" s="433">
        <f t="shared" si="4"/>
        <v>0.638112688960147</v>
      </c>
      <c r="K15" s="430">
        <v>0</v>
      </c>
    </row>
    <row r="17" ht="16.5" customHeight="1">
      <c r="A17" s="222" t="s">
        <v>1904</v>
      </c>
      <c r="H17" s="225" t="s">
        <v>1905</v>
      </c>
    </row>
    <row r="18" ht="19.5" customHeight="1">
      <c r="A18" s="210" t="s">
        <v>92</v>
      </c>
      <c r="B18" s="210" t="s">
        <v>1906</v>
      </c>
      <c r="C18" s="210" t="s">
        <v>1882</v>
      </c>
      <c r="D18" s="210" t="s">
        <v>1907</v>
      </c>
      <c r="E18" s="210" t="s">
        <v>1908</v>
      </c>
      <c r="F18" s="210" t="s">
        <v>1884</v>
      </c>
      <c r="H18" s="211" t="s">
        <v>1906</v>
      </c>
      <c r="I18" s="230" cm="1">
        <f t="array" ref="I18">C15</f>
        <v>1091500</v>
      </c>
    </row>
    <row r="19" ht="19.5" customHeight="1">
      <c r="A19" s="211" t="s">
        <v>1889</v>
      </c>
      <c r="B19" s="227">
        <f t="shared" si="7" ref="B19:B23">SUMIF($B$5:$B$14,A19,$C$5:$C$14)</f>
        <v>600000</v>
      </c>
      <c r="C19" s="227">
        <f t="shared" si="8" ref="C19:C23">SUMIF($B$5:$B$14,A19,$D$5:$D$14)</f>
        <v>552000</v>
      </c>
      <c r="D19" s="227">
        <f t="shared" si="9" ref="D19:D23">SUMIF($B$5:$B$14,A19,$E$5:$E$14)</f>
        <v>410000</v>
      </c>
      <c r="E19" s="215">
        <f t="shared" si="10" ref="E19:E24">IF(B19=0,0,D19/B19)</f>
        <v>0.683333333333333</v>
      </c>
      <c r="F19" s="227">
        <f t="shared" si="11" ref="F19:F23">B19-D19</f>
        <v>190000</v>
      </c>
      <c r="H19" s="211" t="s">
        <v>1909</v>
      </c>
      <c r="I19" s="230" cm="1">
        <f t="array" ref="I19">D15</f>
        <v>928000</v>
      </c>
    </row>
    <row r="20" ht="19.5" customHeight="1">
      <c r="A20" s="211" t="s">
        <v>1892</v>
      </c>
      <c r="B20" s="227">
        <f t="shared" si="7"/>
        <v>211000</v>
      </c>
      <c r="C20" s="227">
        <f t="shared" si="8"/>
        <v>198000</v>
      </c>
      <c r="D20" s="227">
        <f t="shared" si="9"/>
        <v>141000</v>
      </c>
      <c r="E20" s="215">
        <f t="shared" si="10"/>
        <v>0.66824644549763</v>
      </c>
      <c r="F20" s="227">
        <f t="shared" si="11"/>
        <v>70000</v>
      </c>
      <c r="H20" s="211" t="s">
        <v>1910</v>
      </c>
      <c r="I20" s="230" cm="1">
        <f t="array" ref="I20">E15</f>
        <v>696500</v>
      </c>
    </row>
    <row r="21" ht="19.5" customHeight="1">
      <c r="A21" s="211" t="s">
        <v>1896</v>
      </c>
      <c r="B21" s="227">
        <f t="shared" si="7"/>
        <v>112500</v>
      </c>
      <c r="C21" s="227">
        <f t="shared" si="8"/>
        <v>98000</v>
      </c>
      <c r="D21" s="227">
        <f t="shared" si="9"/>
        <v>82500</v>
      </c>
      <c r="E21" s="215">
        <f t="shared" si="10"/>
        <v>0.733333333333333</v>
      </c>
      <c r="F21" s="227">
        <f t="shared" si="11"/>
        <v>30000</v>
      </c>
      <c r="H21" s="211" t="s">
        <v>1887</v>
      </c>
      <c r="I21" s="226" cm="1">
        <f t="array" ref="I21">J15</f>
        <v>0.638112688960147</v>
      </c>
    </row>
    <row r="22" ht="19.5" customHeight="1">
      <c r="A22" s="211" t="s">
        <v>1898</v>
      </c>
      <c r="B22" s="227">
        <f t="shared" si="7"/>
        <v>93000</v>
      </c>
      <c r="C22" s="227">
        <f t="shared" si="8"/>
        <v>80000</v>
      </c>
      <c r="D22" s="227">
        <f t="shared" si="9"/>
        <v>63000</v>
      </c>
      <c r="E22" s="215">
        <f t="shared" si="10"/>
        <v>0.67741935483871</v>
      </c>
      <c r="F22" s="227">
        <f t="shared" si="11"/>
        <v>30000</v>
      </c>
      <c r="H22" s="211" t="s">
        <v>1911</v>
      </c>
      <c r="I22" s="230">
        <f>C15-E15</f>
        <v>395000</v>
      </c>
    </row>
    <row r="23" ht="19.5" customHeight="1">
      <c r="A23" s="211" t="s">
        <v>1902</v>
      </c>
      <c r="B23" s="227">
        <f t="shared" si="7"/>
        <v>75000</v>
      </c>
      <c r="C23" s="227">
        <f t="shared" si="8"/>
        <v>0</v>
      </c>
      <c r="D23" s="227">
        <f t="shared" si="9"/>
        <v>0</v>
      </c>
      <c r="E23" s="215">
        <f t="shared" si="10"/>
        <v>0</v>
      </c>
      <c r="F23" s="227">
        <f t="shared" si="11"/>
        <v>75000</v>
      </c>
      <c r="H23" s="211" t="s">
        <v>1912</v>
      </c>
      <c r="I23" s="230">
        <f>C15-D15</f>
        <v>163500</v>
      </c>
    </row>
    <row r="24" ht="19.5" customHeight="1">
      <c r="A24" s="434" t="s">
        <v>1637</v>
      </c>
      <c r="B24" s="435">
        <f t="shared" si="12" ref="B24:F24">SUM(B19:B23)</f>
        <v>1091500</v>
      </c>
      <c r="C24" s="435">
        <f t="shared" si="12"/>
        <v>928000</v>
      </c>
      <c r="D24" s="435">
        <f t="shared" si="12"/>
        <v>696500</v>
      </c>
      <c r="E24" s="436">
        <f t="shared" si="10"/>
        <v>0.638112688960147</v>
      </c>
      <c r="F24" s="435">
        <f t="shared" si="12"/>
        <v>395000</v>
      </c>
      <c r="H24" s="211" t="s">
        <v>1913</v>
      </c>
      <c r="I24" s="238">
        <f>COUNTIF(K5:K14,"Complete")</f>
        <v>1</v>
      </c>
    </row>
    <row r="25" ht="19.5" customHeight="1">
      <c r="H25" s="211" t="s">
        <v>1914</v>
      </c>
      <c r="I25" s="238">
        <f>COUNTIF(K5:K14,"In Progress")+COUNTIF(K5:K14,"Committed")</f>
        <v>8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AA995B5-AD78-6EC8-BC88-E0C2E735035F}" mc:Ignorable="x14ac xr xr2 xr3">
  <dimension ref="A1:GR50000"/>
  <sheetViews>
    <sheetView showGridLines="0" topLeftCell="A1" workbookViewId="0">
      <selection activeCell="A1" sqref="A1"/>
    </sheetView>
  </sheetViews>
  <sheetFormatPr defaultRowHeight="15" defaultColWidth="7.75390625" customHeight="1"/>
  <cols>
    <col min="1" max="1" width="17.50390625" customWidth="1"/>
  </cols>
  <sheetData>
    <row r="1" ht="19.5" customHeight="1">
      <c r="A1" s="340" t="s">
        <v>1915</v>
      </c>
      <c r="B1" s="340"/>
      <c r="C1" s="340"/>
      <c r="D1" s="340"/>
      <c r="E1" s="340"/>
      <c r="F1" s="340"/>
      <c r="G1" s="340"/>
      <c r="H1" s="340"/>
      <c r="I1" s="340"/>
      <c r="J1" s="340"/>
      <c r="L1" s="354" t="str">
        <f>HYPERLINK("#Alert_Dashboard!B2","← Back to Alerts")</f>
        <v>← Back to Alerts</v>
      </c>
    </row>
    <row r="3" ht="15.75" customHeight="1">
      <c r="A3" s="222" t="s">
        <v>110</v>
      </c>
      <c r="B3" s="222"/>
      <c r="C3" s="222"/>
      <c r="D3" s="222"/>
      <c r="E3" s="222"/>
      <c r="F3" s="222"/>
      <c r="G3" s="222"/>
      <c r="H3" s="222"/>
      <c r="I3" s="222"/>
      <c r="J3" s="222"/>
    </row>
    <row r="4" ht="13.5" customHeight="1">
      <c r="A4" s="210" t="s">
        <v>112</v>
      </c>
      <c r="B4" s="210" t="s">
        <v>113</v>
      </c>
      <c r="C4" s="210" t="s">
        <v>114</v>
      </c>
      <c r="D4" s="210" t="s">
        <v>115</v>
      </c>
      <c r="E4" s="210" t="s">
        <v>116</v>
      </c>
      <c r="F4" s="210" t="s">
        <v>23</v>
      </c>
    </row>
    <row r="5" ht="13.5" customHeight="1">
      <c r="A5" s="211" t="s">
        <v>119</v>
      </c>
      <c r="B5" s="213" t="s">
        <v>120</v>
      </c>
      <c r="C5" s="232">
        <v>1.25</v>
      </c>
      <c r="D5" s="232">
        <v>1.52</v>
      </c>
      <c r="E5" s="437">
        <f t="shared" si="0" ref="E5:E11">D5-C5</f>
        <v>0.27</v>
      </c>
      <c r="F5" s="213" t="str">
        <f t="shared" si="1" ref="F5:F11">IF(D5&gt;=C5,"✓ PASS","✗ FAIL")</f>
        <v>✓ PASS</v>
      </c>
    </row>
    <row r="6" ht="13.5" customHeight="1">
      <c r="A6" s="211" t="s">
        <v>125</v>
      </c>
      <c r="B6" s="213" t="s">
        <v>126</v>
      </c>
      <c r="C6" s="215">
        <v>0.75</v>
      </c>
      <c r="D6" s="215">
        <v>0.58</v>
      </c>
      <c r="E6" s="215">
        <f>C6-D6</f>
        <v>0.17</v>
      </c>
      <c r="F6" s="213" t="str">
        <f>IF(D6&lt;=C6,"✓ PASS","✗ FAIL")</f>
        <v>✓ PASS</v>
      </c>
    </row>
    <row r="7" ht="13.5" customHeight="1">
      <c r="A7" s="211" t="s">
        <v>130</v>
      </c>
      <c r="B7" s="213" t="s">
        <v>120</v>
      </c>
      <c r="C7" s="232">
        <v>0.08</v>
      </c>
      <c r="D7" s="232">
        <v>0.092</v>
      </c>
      <c r="E7" s="215">
        <f t="shared" si="0"/>
        <v>0.012</v>
      </c>
      <c r="F7" s="213" t="str">
        <f t="shared" si="1"/>
        <v>✓ PASS</v>
      </c>
    </row>
    <row r="8" ht="13.5" customHeight="1">
      <c r="A8" s="211" t="s">
        <v>134</v>
      </c>
      <c r="B8" s="213" t="s">
        <v>120</v>
      </c>
      <c r="C8" s="232">
        <v>1.5</v>
      </c>
      <c r="D8" s="232">
        <v>1.85</v>
      </c>
      <c r="E8" s="437">
        <f t="shared" si="0"/>
        <v>0.35</v>
      </c>
      <c r="F8" s="213" t="str">
        <f t="shared" si="1"/>
        <v>✓ PASS</v>
      </c>
    </row>
    <row r="9" ht="13.5" customHeight="1">
      <c r="A9" s="211" t="s">
        <v>138</v>
      </c>
      <c r="B9" s="213" t="s">
        <v>120</v>
      </c>
      <c r="C9" s="214">
        <v>15000000</v>
      </c>
      <c r="D9" s="214">
        <v>22500000</v>
      </c>
      <c r="E9" s="214">
        <f t="shared" si="0"/>
        <v>7500000</v>
      </c>
      <c r="F9" s="213" t="str">
        <f t="shared" si="1"/>
        <v>✓ PASS</v>
      </c>
    </row>
    <row r="10" ht="13.5" customHeight="1">
      <c r="A10" s="211" t="s">
        <v>142</v>
      </c>
      <c r="B10" s="213" t="s">
        <v>120</v>
      </c>
      <c r="C10" s="214">
        <v>2000000</v>
      </c>
      <c r="D10" s="214">
        <v>3852200</v>
      </c>
      <c r="E10" s="214">
        <f t="shared" si="0"/>
        <v>1852200</v>
      </c>
      <c r="F10" s="213" t="str">
        <f t="shared" si="1"/>
        <v>✓ PASS</v>
      </c>
    </row>
    <row r="11" ht="13.5" customHeight="1">
      <c r="A11" s="211" t="s">
        <v>146</v>
      </c>
      <c r="B11" s="213" t="s">
        <v>120</v>
      </c>
      <c r="C11" s="215">
        <v>0.9</v>
      </c>
      <c r="D11" s="215">
        <v>0.952</v>
      </c>
      <c r="E11" s="215">
        <f t="shared" si="0"/>
        <v>0.052</v>
      </c>
      <c r="F11" s="213" t="str">
        <f t="shared" si="1"/>
        <v>✓ PASS</v>
      </c>
    </row>
  </sheetData>
  <hyperlinks>
    <hyperlink ref="L1" r:id="rId1" display="← Back to Alerts"/>
  </hyperlink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DA8FED6-E228-7BC8-081E-EDC6BF77F9C8}" mc:Ignorable="x14ac xr xr2 xr3">
  <dimension ref="A1:GR50000"/>
  <sheetViews>
    <sheetView showGridLines="0" topLeftCell="A1" workbookViewId="0">
      <selection activeCell="A1" sqref="A1"/>
    </sheetView>
  </sheetViews>
  <sheetFormatPr defaultRowHeight="15" defaultColWidth="7.75390625" customHeight="1"/>
  <cols>
    <col min="1" max="1" width="17.50390625" customWidth="1"/>
  </cols>
  <sheetData>
    <row r="1" ht="19.5" customHeight="1">
      <c r="A1" s="340" t="s">
        <v>1916</v>
      </c>
      <c r="B1" s="340"/>
      <c r="C1" s="340"/>
      <c r="D1" s="340"/>
      <c r="E1" s="340"/>
      <c r="F1" s="340"/>
      <c r="G1" s="340"/>
      <c r="H1" s="340"/>
      <c r="I1" s="340"/>
      <c r="J1" s="340"/>
      <c r="L1" s="354" t="str">
        <f>HYPERLINK("#Alert_Dashboard!B2","← Back to Alerts")</f>
        <v>← Back to Alerts</v>
      </c>
    </row>
    <row r="3" ht="15.75" customHeight="1">
      <c r="A3" s="222" t="s">
        <v>1917</v>
      </c>
      <c r="B3" s="222"/>
      <c r="C3" s="222"/>
      <c r="D3" s="222"/>
      <c r="E3" s="222"/>
      <c r="F3" s="222"/>
      <c r="G3" s="222"/>
      <c r="H3" s="209" t="s">
        <v>1555</v>
      </c>
      <c r="I3" s="222"/>
      <c r="J3" s="222"/>
    </row>
    <row r="4" ht="13.5" customHeight="1">
      <c r="A4" s="210" t="s">
        <v>1918</v>
      </c>
      <c r="B4" s="210" t="s">
        <v>1919</v>
      </c>
      <c r="C4" s="210" t="s">
        <v>1920</v>
      </c>
      <c r="D4" s="210" t="s">
        <v>380</v>
      </c>
      <c r="E4" s="210" t="s">
        <v>1921</v>
      </c>
      <c r="F4" s="210" t="s">
        <v>1922</v>
      </c>
      <c r="G4" s="398"/>
      <c r="H4" s="438" t="s">
        <v>1923</v>
      </c>
      <c r="I4" s="363" cm="1">
        <f t="array" ref="I4">C10</f>
        <v>206500</v>
      </c>
    </row>
    <row r="5" ht="13.5" customHeight="1">
      <c r="A5" s="211" t="s">
        <v>1924</v>
      </c>
      <c r="B5" s="212">
        <v>185</v>
      </c>
      <c r="C5" s="227">
        <v>125000</v>
      </c>
      <c r="D5" s="215">
        <f t="shared" si="0" ref="D5:D9">IF($C$10=0,0,C5/$C$10)</f>
        <v>0.605326876513317</v>
      </c>
      <c r="E5" s="215">
        <v>0.01</v>
      </c>
      <c r="F5" s="227">
        <f t="shared" si="1" ref="F5:F9">C5*E5</f>
        <v>1250</v>
      </c>
      <c r="H5" s="211" t="s">
        <v>1925</v>
      </c>
      <c r="I5" s="363" cm="1">
        <f t="array" ref="I5">F10</f>
        <v>16755</v>
      </c>
    </row>
    <row r="6" ht="13.5" customHeight="1">
      <c r="A6" s="211" t="s">
        <v>1926</v>
      </c>
      <c r="B6" s="212">
        <v>28</v>
      </c>
      <c r="C6" s="227">
        <v>42000</v>
      </c>
      <c r="D6" s="215">
        <f t="shared" si="0"/>
        <v>0.203389830508475</v>
      </c>
      <c r="E6" s="215">
        <v>0.05</v>
      </c>
      <c r="F6" s="227">
        <f t="shared" si="1"/>
        <v>2100</v>
      </c>
      <c r="H6" s="211" t="s">
        <v>1927</v>
      </c>
      <c r="I6" s="439" cm="1">
        <f t="array" ref="I6">E10</f>
        <v>0.081138014527845</v>
      </c>
    </row>
    <row r="7" ht="13.5" customHeight="1">
      <c r="A7" s="211" t="s">
        <v>1928</v>
      </c>
      <c r="B7" s="212">
        <v>12</v>
      </c>
      <c r="C7" s="227">
        <v>18500</v>
      </c>
      <c r="D7" s="215">
        <f t="shared" si="0"/>
        <v>0.0895883777239709</v>
      </c>
      <c r="E7" s="215">
        <v>0.15</v>
      </c>
      <c r="F7" s="227">
        <f t="shared" si="1"/>
        <v>2775</v>
      </c>
      <c r="H7" s="211" t="s">
        <v>224</v>
      </c>
      <c r="I7" s="439">
        <f>1-D5</f>
        <v>0.394673123486683</v>
      </c>
    </row>
    <row r="8" ht="13.5" customHeight="1">
      <c r="A8" s="211" t="s">
        <v>1929</v>
      </c>
      <c r="B8" s="212">
        <v>8</v>
      </c>
      <c r="C8" s="227">
        <v>12800</v>
      </c>
      <c r="D8" s="215">
        <f t="shared" si="0"/>
        <v>0.0619854721549637</v>
      </c>
      <c r="E8" s="215">
        <v>0.35</v>
      </c>
      <c r="F8" s="227">
        <f t="shared" si="1"/>
        <v>4480</v>
      </c>
      <c r="H8" s="211" t="s">
        <v>1930</v>
      </c>
      <c r="I8" s="440">
        <v>28</v>
      </c>
    </row>
    <row r="9" ht="13.5" customHeight="1">
      <c r="A9" s="211" t="s">
        <v>1931</v>
      </c>
      <c r="B9" s="212">
        <v>5</v>
      </c>
      <c r="C9" s="227">
        <v>8200</v>
      </c>
      <c r="D9" s="215">
        <f t="shared" si="0"/>
        <v>0.0397094430992736</v>
      </c>
      <c r="E9" s="215">
        <v>0.75</v>
      </c>
      <c r="F9" s="227">
        <f t="shared" si="1"/>
        <v>6150</v>
      </c>
    </row>
    <row r="10" ht="13.5" customHeight="1">
      <c r="A10" s="434" t="s">
        <v>1637</v>
      </c>
      <c r="B10" s="441">
        <f t="shared" si="2" ref="B10:F10">SUM(B5:B9)</f>
        <v>238</v>
      </c>
      <c r="C10" s="435">
        <f t="shared" si="2"/>
        <v>206500</v>
      </c>
      <c r="D10" s="436">
        <f t="shared" si="2"/>
        <v>1</v>
      </c>
      <c r="E10" s="436">
        <f>IF(C10=0,0,F10/C10)</f>
        <v>0.081138014527845</v>
      </c>
      <c r="F10" s="435">
        <f t="shared" si="2"/>
        <v>16755</v>
      </c>
    </row>
  </sheetData>
  <hyperlinks>
    <hyperlink ref="L1" r:id="rId1" display="← Back to Alerts"/>
  </hyperlink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E200684-FCF8-0108-7798-46A02DEF6CD8}" mc:Ignorable="x14ac xr xr2 xr3">
  <dimension ref="A1:GR50000"/>
  <sheetViews>
    <sheetView showGridLines="0" topLeftCell="A1" workbookViewId="0">
      <selection activeCell="A1" sqref="A1"/>
    </sheetView>
  </sheetViews>
  <sheetFormatPr defaultRowHeight="15" defaultColWidth="7.75390625" customHeight="1"/>
  <cols>
    <col min="1" max="1" width="17.50390625" customWidth="1"/>
  </cols>
  <sheetData>
    <row r="1" ht="19.5" customHeight="1">
      <c r="A1" s="340" t="s">
        <v>1932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</row>
    <row r="3" ht="15.75" customHeight="1">
      <c r="A3" s="222" t="s">
        <v>1933</v>
      </c>
      <c r="B3" s="222"/>
      <c r="C3" s="222"/>
      <c r="D3" s="222"/>
      <c r="E3" s="222"/>
      <c r="F3" s="222"/>
      <c r="G3" s="222"/>
      <c r="H3" s="222"/>
      <c r="I3" s="222"/>
      <c r="J3" s="222"/>
      <c r="K3" s="222"/>
      <c r="L3" s="222"/>
    </row>
    <row r="4" ht="13.5" customHeight="1">
      <c r="A4" s="398" t="s">
        <v>562</v>
      </c>
      <c r="B4" s="398" t="s">
        <v>68</v>
      </c>
      <c r="C4" s="398" t="s">
        <v>70</v>
      </c>
      <c r="D4" s="398" t="s">
        <v>1934</v>
      </c>
      <c r="E4" s="398" t="s">
        <v>74</v>
      </c>
      <c r="F4" s="398" t="s">
        <v>1935</v>
      </c>
      <c r="G4" s="398" t="s">
        <v>1936</v>
      </c>
      <c r="H4" s="398" t="s">
        <v>1937</v>
      </c>
      <c r="I4" s="398" t="s">
        <v>512</v>
      </c>
      <c r="J4" s="398" t="s">
        <v>548</v>
      </c>
    </row>
    <row r="5" ht="13.5" customHeight="1">
      <c r="A5" s="211" t="s">
        <v>553</v>
      </c>
      <c r="B5" s="212">
        <v>245</v>
      </c>
      <c r="C5" s="212">
        <v>78</v>
      </c>
      <c r="D5" s="212">
        <v>42</v>
      </c>
      <c r="E5" s="212">
        <v>18</v>
      </c>
      <c r="F5" s="215">
        <f t="shared" si="0" ref="F5:H12">IF(B5=0,0,C5/B5)</f>
        <v>0.318367346938775</v>
      </c>
      <c r="G5" s="215">
        <f t="shared" si="0"/>
        <v>0.538461538461538</v>
      </c>
      <c r="H5" s="215">
        <f t="shared" si="0"/>
        <v>0.428571428571429</v>
      </c>
      <c r="I5" s="215">
        <f t="shared" si="1" ref="I5:I12">IF(B5=0,0,E5/B5)</f>
        <v>0.073469387755102</v>
      </c>
      <c r="J5" s="442" cm="1">
        <f t="array" ref="J5">MKT_16_Marketing_CPA!H10</f>
        <v>472.222222222222</v>
      </c>
    </row>
    <row r="6" ht="13.5" customHeight="1">
      <c r="A6" s="211" t="s">
        <v>1591</v>
      </c>
      <c r="B6" s="212">
        <v>198</v>
      </c>
      <c r="C6" s="212">
        <v>61</v>
      </c>
      <c r="D6" s="212">
        <v>35</v>
      </c>
      <c r="E6" s="212">
        <v>14</v>
      </c>
      <c r="F6" s="215">
        <f t="shared" si="0"/>
        <v>0.308080808080808</v>
      </c>
      <c r="G6" s="215">
        <f t="shared" si="0"/>
        <v>0.573770491803279</v>
      </c>
      <c r="H6" s="215">
        <f t="shared" si="0"/>
        <v>0.4</v>
      </c>
      <c r="I6" s="215">
        <f t="shared" si="1"/>
        <v>0.0707070707070707</v>
      </c>
      <c r="J6" s="442" cm="1">
        <f t="array" ref="J6">MKT_16_Marketing_CPA!H11</f>
        <v>442.857142857143</v>
      </c>
    </row>
    <row r="7" ht="13.5" customHeight="1">
      <c r="A7" s="211" t="s">
        <v>1592</v>
      </c>
      <c r="B7" s="212">
        <v>156</v>
      </c>
      <c r="C7" s="212">
        <v>52</v>
      </c>
      <c r="D7" s="212">
        <v>28</v>
      </c>
      <c r="E7" s="212">
        <v>11</v>
      </c>
      <c r="F7" s="215">
        <f t="shared" si="0"/>
        <v>0.333333333333333</v>
      </c>
      <c r="G7" s="215">
        <f t="shared" si="0"/>
        <v>0.538461538461538</v>
      </c>
      <c r="H7" s="215">
        <f t="shared" si="0"/>
        <v>0.392857142857143</v>
      </c>
      <c r="I7" s="215">
        <f t="shared" si="1"/>
        <v>0.0705128205128205</v>
      </c>
      <c r="J7" s="442" cm="1">
        <f t="array" ref="J7">MKT_16_Marketing_CPA!H12</f>
        <v>436.363636363636</v>
      </c>
    </row>
    <row r="8" ht="13.5" customHeight="1">
      <c r="A8" s="211" t="s">
        <v>1593</v>
      </c>
      <c r="B8" s="212">
        <v>134</v>
      </c>
      <c r="C8" s="212">
        <v>38</v>
      </c>
      <c r="D8" s="212">
        <v>19</v>
      </c>
      <c r="E8" s="212">
        <v>7</v>
      </c>
      <c r="F8" s="215">
        <f t="shared" si="0"/>
        <v>0.283582089552239</v>
      </c>
      <c r="G8" s="215">
        <f t="shared" si="0"/>
        <v>0.5</v>
      </c>
      <c r="H8" s="215">
        <f t="shared" si="0"/>
        <v>0.368421052631579</v>
      </c>
      <c r="I8" s="215">
        <f t="shared" si="1"/>
        <v>0.0522388059701493</v>
      </c>
      <c r="J8" s="442" cm="1">
        <f t="array" ref="J8">MKT_16_Marketing_CPA!H13</f>
        <v>457.142857142857</v>
      </c>
    </row>
    <row r="9" ht="13.5" customHeight="1">
      <c r="A9" s="211" t="s">
        <v>550</v>
      </c>
      <c r="B9" s="212">
        <v>287</v>
      </c>
      <c r="C9" s="212">
        <v>112</v>
      </c>
      <c r="D9" s="212">
        <v>68</v>
      </c>
      <c r="E9" s="212">
        <v>32</v>
      </c>
      <c r="F9" s="215">
        <f t="shared" si="0"/>
        <v>0.390243902439024</v>
      </c>
      <c r="G9" s="215">
        <f t="shared" si="0"/>
        <v>0.607142857142857</v>
      </c>
      <c r="H9" s="215">
        <f t="shared" si="0"/>
        <v>0.470588235294118</v>
      </c>
      <c r="I9" s="215">
        <f t="shared" si="1"/>
        <v>0.111498257839721</v>
      </c>
      <c r="J9" s="442" cm="1">
        <f t="array" ref="J9">MKT_16_Marketing_CPA!H14</f>
        <v>0</v>
      </c>
    </row>
    <row r="10" ht="13.5" customHeight="1">
      <c r="A10" s="211" t="s">
        <v>76</v>
      </c>
      <c r="B10" s="212">
        <v>89</v>
      </c>
      <c r="C10" s="212">
        <v>45</v>
      </c>
      <c r="D10" s="212">
        <v>31</v>
      </c>
      <c r="E10" s="212">
        <v>19</v>
      </c>
      <c r="F10" s="215">
        <f t="shared" si="0"/>
        <v>0.50561797752809</v>
      </c>
      <c r="G10" s="215">
        <f t="shared" si="0"/>
        <v>0.688888888888889</v>
      </c>
      <c r="H10" s="215">
        <f t="shared" si="0"/>
        <v>0.612903225806452</v>
      </c>
      <c r="I10" s="215">
        <f t="shared" si="1"/>
        <v>0.213483146067416</v>
      </c>
      <c r="J10" s="442" cm="1">
        <f t="array" ref="J10">MKT_16_Marketing_CPA!H15</f>
        <v>26.3157894736842</v>
      </c>
    </row>
    <row r="11" ht="13.5" customHeight="1">
      <c r="A11" s="211" t="s">
        <v>1594</v>
      </c>
      <c r="B11" s="212">
        <v>42</v>
      </c>
      <c r="C11" s="212">
        <v>15</v>
      </c>
      <c r="D11" s="212">
        <v>8</v>
      </c>
      <c r="E11" s="212">
        <v>3</v>
      </c>
      <c r="F11" s="215">
        <f t="shared" si="0"/>
        <v>0.357142857142857</v>
      </c>
      <c r="G11" s="215">
        <f t="shared" si="0"/>
        <v>0.533333333333333</v>
      </c>
      <c r="H11" s="215">
        <f t="shared" si="0"/>
        <v>0.375</v>
      </c>
      <c r="I11" s="215">
        <f t="shared" si="1"/>
        <v>0.0714285714285714</v>
      </c>
      <c r="J11" s="442" cm="1">
        <f t="array" ref="J11">MKT_16_Marketing_CPA!H16</f>
        <v>266.666666666667</v>
      </c>
    </row>
    <row r="12" ht="13.5" customHeight="1">
      <c r="A12" s="430" t="s">
        <v>1637</v>
      </c>
      <c r="B12" s="443">
        <f t="shared" si="2" ref="B12:E12">SUM(B5:B11)</f>
        <v>1151</v>
      </c>
      <c r="C12" s="443">
        <f t="shared" si="2"/>
        <v>401</v>
      </c>
      <c r="D12" s="443">
        <f t="shared" si="2"/>
        <v>231</v>
      </c>
      <c r="E12" s="443">
        <f t="shared" si="2"/>
        <v>104</v>
      </c>
      <c r="F12" s="444">
        <f t="shared" si="0"/>
        <v>0.348392701998262</v>
      </c>
      <c r="G12" s="444">
        <f t="shared" si="0"/>
        <v>0.576059850374065</v>
      </c>
      <c r="H12" s="444">
        <f t="shared" si="0"/>
        <v>0.45021645021645</v>
      </c>
      <c r="I12" s="444">
        <f t="shared" si="1"/>
        <v>0.0903562119895743</v>
      </c>
      <c r="J12" s="445">
        <f>AVERAGE(J5:J11)</f>
        <v>300.224044960887</v>
      </c>
    </row>
    <row r="14" ht="15.75" customHeight="1">
      <c r="A14" s="222" t="s">
        <v>1938</v>
      </c>
    </row>
    <row r="15" ht="13.5" customHeight="1">
      <c r="A15" s="210" t="s">
        <v>19</v>
      </c>
      <c r="B15" s="210" t="s">
        <v>85</v>
      </c>
      <c r="C15" s="210" t="s">
        <v>657</v>
      </c>
      <c r="D15" s="210" t="s">
        <v>22</v>
      </c>
      <c r="E15" s="210" t="s">
        <v>23</v>
      </c>
    </row>
    <row r="16" ht="15.75" customHeight="1">
      <c r="A16" t="s">
        <v>1939</v>
      </c>
      <c r="B16" s="378" cm="1">
        <f t="array" ref="B16">F12</f>
        <v>0.348392701998262</v>
      </c>
      <c r="C16" s="378">
        <v>0.35</v>
      </c>
      <c r="D16" s="446">
        <f t="shared" si="3" ref="D16:D20">B16-C16</f>
        <v>-0.00160729800173798</v>
      </c>
    </row>
    <row r="17" ht="15.75" customHeight="1">
      <c r="A17" t="s">
        <v>1940</v>
      </c>
      <c r="B17" s="378" cm="1">
        <f t="array" ref="B17">G12</f>
        <v>0.576059850374065</v>
      </c>
      <c r="C17" s="378">
        <v>0.55</v>
      </c>
      <c r="D17" s="446">
        <f t="shared" si="3"/>
        <v>0.026059850374065</v>
      </c>
    </row>
    <row r="18" ht="15.75" customHeight="1">
      <c r="A18" t="s">
        <v>1941</v>
      </c>
      <c r="B18" s="378" cm="1">
        <f t="array" ref="B18">H12</f>
        <v>0.45021645021645</v>
      </c>
      <c r="C18" s="378">
        <v>0.45</v>
      </c>
      <c r="D18" s="446">
        <f t="shared" si="3"/>
        <v>0.000216450216450004</v>
      </c>
    </row>
    <row r="19" ht="15.75" customHeight="1">
      <c r="A19" t="s">
        <v>1942</v>
      </c>
      <c r="B19" s="378" cm="1">
        <f t="array" ref="B19">I12</f>
        <v>0.0903562119895743</v>
      </c>
      <c r="C19" s="378">
        <v>0.09</v>
      </c>
      <c r="D19" s="446">
        <f t="shared" si="3"/>
        <v>0.000356211989574307</v>
      </c>
    </row>
    <row r="20" ht="15.75" customHeight="1">
      <c r="A20" t="s">
        <v>162</v>
      </c>
      <c r="B20" s="447" cm="1">
        <f t="array" ref="B20">J12</f>
        <v>300.224044960887</v>
      </c>
      <c r="C20" s="447">
        <v>850</v>
      </c>
      <c r="D20" s="448">
        <f t="shared" si="3"/>
        <v>-549.775955039113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CF75E0D-25B8-8378-B59B-00246A9CB88F}" mc:Ignorable="x14ac xr xr2 xr3">
  <dimension ref="A1:GR50000"/>
  <sheetViews>
    <sheetView showGridLines="0" topLeftCell="A1" workbookViewId="0">
      <selection activeCell="A1" sqref="A1"/>
    </sheetView>
  </sheetViews>
  <sheetFormatPr defaultRowHeight="15" defaultColWidth="7.75390625" customHeight="1"/>
  <cols>
    <col min="1" max="1" width="15.00390625" customWidth="1"/>
  </cols>
  <sheetData>
    <row r="1" ht="19.5" customHeight="1">
      <c r="A1" s="340" t="s">
        <v>1943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54" t="str">
        <f>HYPERLINK("#Alert_Dashboard!B2","← Back to Alerts")</f>
        <v>← Back to Alerts</v>
      </c>
    </row>
    <row r="3" ht="15.75" customHeight="1">
      <c r="A3" s="222" t="s">
        <v>1944</v>
      </c>
      <c r="B3" s="222"/>
      <c r="C3" s="222"/>
      <c r="D3" s="222"/>
      <c r="E3" s="222"/>
      <c r="F3" s="222"/>
      <c r="G3" s="222"/>
      <c r="H3" s="222"/>
      <c r="I3" s="222"/>
      <c r="J3" s="222"/>
      <c r="K3" s="222"/>
      <c r="L3" s="222"/>
    </row>
    <row r="4" ht="13.5" customHeight="1">
      <c r="A4" s="398" t="s">
        <v>41</v>
      </c>
      <c r="B4" s="398" t="s">
        <v>975</v>
      </c>
      <c r="C4" s="398" t="s">
        <v>1556</v>
      </c>
      <c r="D4" s="398" t="s">
        <v>1945</v>
      </c>
      <c r="E4" s="398" t="s">
        <v>1946</v>
      </c>
      <c r="F4" s="398" t="s">
        <v>1724</v>
      </c>
      <c r="G4" s="398" t="s">
        <v>28</v>
      </c>
      <c r="H4" s="398" t="s">
        <v>1947</v>
      </c>
      <c r="I4" s="398" t="s">
        <v>1948</v>
      </c>
    </row>
    <row r="5" ht="13.5" customHeight="1">
      <c r="A5" s="211" t="s">
        <v>44</v>
      </c>
      <c r="B5" s="212">
        <v>24</v>
      </c>
      <c r="C5" s="212">
        <v>23</v>
      </c>
      <c r="D5" s="215">
        <f t="shared" si="0" ref="D5:D12">IF(B5=0,0,C5/B5)</f>
        <v>0.958333333333333</v>
      </c>
      <c r="E5" s="212">
        <v>485</v>
      </c>
      <c r="F5" s="214">
        <v>1295</v>
      </c>
      <c r="G5" s="214">
        <v>1265</v>
      </c>
      <c r="H5" s="449">
        <f t="shared" si="1" ref="H5:H12">IF(E5=0,0,G5/E5)</f>
        <v>2.60824742268041</v>
      </c>
      <c r="I5" s="235">
        <v>2.1</v>
      </c>
    </row>
    <row r="6" ht="13.5" customHeight="1">
      <c r="A6" s="211" t="s">
        <v>1949</v>
      </c>
      <c r="B6" s="212">
        <v>68</v>
      </c>
      <c r="C6" s="212">
        <v>65</v>
      </c>
      <c r="D6" s="215">
        <f t="shared" si="0"/>
        <v>0.955882352941177</v>
      </c>
      <c r="E6" s="212">
        <v>725</v>
      </c>
      <c r="F6" s="214">
        <v>1595</v>
      </c>
      <c r="G6" s="214">
        <v>1545</v>
      </c>
      <c r="H6" s="449">
        <f t="shared" si="1"/>
        <v>2.13103448275862</v>
      </c>
      <c r="I6" s="235">
        <v>4.8</v>
      </c>
    </row>
    <row r="7" ht="13.5" customHeight="1">
      <c r="A7" s="211" t="s">
        <v>1950</v>
      </c>
      <c r="B7" s="212">
        <v>32</v>
      </c>
      <c r="C7" s="212">
        <v>30</v>
      </c>
      <c r="D7" s="215">
        <f t="shared" si="0"/>
        <v>0.9375</v>
      </c>
      <c r="E7" s="212">
        <v>815</v>
      </c>
      <c r="F7" s="214">
        <v>1745</v>
      </c>
      <c r="G7" s="214">
        <v>1695</v>
      </c>
      <c r="H7" s="449">
        <f t="shared" si="1"/>
        <v>2.07975460122699</v>
      </c>
      <c r="I7" s="235">
        <v>2.4</v>
      </c>
    </row>
    <row r="8" ht="13.5" customHeight="1">
      <c r="A8" s="211" t="s">
        <v>1951</v>
      </c>
      <c r="B8" s="212">
        <v>45</v>
      </c>
      <c r="C8" s="212">
        <v>42</v>
      </c>
      <c r="D8" s="215">
        <f t="shared" si="0"/>
        <v>0.933333333333333</v>
      </c>
      <c r="E8" s="212">
        <v>985</v>
      </c>
      <c r="F8" s="214">
        <v>1895</v>
      </c>
      <c r="G8" s="214">
        <v>1825</v>
      </c>
      <c r="H8" s="449">
        <f t="shared" si="1"/>
        <v>1.85279187817259</v>
      </c>
      <c r="I8" s="235">
        <v>3.2</v>
      </c>
    </row>
    <row r="9" ht="13.5" customHeight="1">
      <c r="A9" s="211" t="s">
        <v>1952</v>
      </c>
      <c r="B9" s="212">
        <v>56</v>
      </c>
      <c r="C9" s="212">
        <v>54</v>
      </c>
      <c r="D9" s="215">
        <f t="shared" si="0"/>
        <v>0.964285714285714</v>
      </c>
      <c r="E9" s="212">
        <v>1085</v>
      </c>
      <c r="F9" s="214">
        <v>2095</v>
      </c>
      <c r="G9" s="214">
        <v>2015</v>
      </c>
      <c r="H9" s="449">
        <f t="shared" si="1"/>
        <v>1.85714285714286</v>
      </c>
      <c r="I9" s="235">
        <v>3.8</v>
      </c>
    </row>
    <row r="10" ht="13.5" customHeight="1">
      <c r="A10" s="211" t="s">
        <v>1953</v>
      </c>
      <c r="B10" s="212">
        <v>18</v>
      </c>
      <c r="C10" s="212">
        <v>17</v>
      </c>
      <c r="D10" s="215">
        <f t="shared" si="0"/>
        <v>0.944444444444444</v>
      </c>
      <c r="E10" s="212">
        <v>1325</v>
      </c>
      <c r="F10" s="214">
        <v>2595</v>
      </c>
      <c r="G10" s="214">
        <v>2485</v>
      </c>
      <c r="H10" s="449">
        <f t="shared" si="1"/>
        <v>1.87547169811321</v>
      </c>
      <c r="I10" s="235">
        <v>1.2</v>
      </c>
    </row>
    <row r="11" ht="13.5" customHeight="1">
      <c r="A11" s="211" t="s">
        <v>56</v>
      </c>
      <c r="B11" s="212">
        <v>8</v>
      </c>
      <c r="C11" s="212">
        <v>8</v>
      </c>
      <c r="D11" s="215">
        <f t="shared" si="0"/>
        <v>1</v>
      </c>
      <c r="E11" s="212">
        <v>1650</v>
      </c>
      <c r="F11" s="214">
        <v>3295</v>
      </c>
      <c r="G11" s="214">
        <v>3195</v>
      </c>
      <c r="H11" s="449">
        <f t="shared" si="1"/>
        <v>1.93636363636364</v>
      </c>
      <c r="I11" s="235">
        <v>0.6</v>
      </c>
    </row>
    <row r="12" ht="13.5" customHeight="1">
      <c r="A12" s="430" t="s">
        <v>1954</v>
      </c>
      <c r="B12" s="450">
        <f t="shared" si="2" ref="B12:I12">SUM(B5:B11)</f>
        <v>251</v>
      </c>
      <c r="C12" s="450">
        <f t="shared" si="2"/>
        <v>239</v>
      </c>
      <c r="D12" s="433">
        <f t="shared" si="0"/>
        <v>0.952191235059761</v>
      </c>
      <c r="E12" s="450">
        <f>SUMPRODUCT(B5:B11,E5:E11)/SUM(B5:B11)</f>
        <v>912.96812749004</v>
      </c>
      <c r="F12" s="451">
        <f t="shared" si="3" ref="F12:G12">SUMPRODUCT(B5:B11,F5:F11)/SUM(B5:B11)</f>
        <v>1876.67330677291</v>
      </c>
      <c r="G12" s="451">
        <f t="shared" si="3"/>
        <v>1814.37238493724</v>
      </c>
      <c r="H12" s="452">
        <f t="shared" si="1"/>
        <v>1.98733376369378</v>
      </c>
      <c r="I12" s="453">
        <f t="shared" si="2"/>
        <v>18.1</v>
      </c>
    </row>
    <row r="14" ht="15.75" customHeight="1">
      <c r="A14" s="222" t="s">
        <v>1955</v>
      </c>
    </row>
    <row r="15" ht="13.5" customHeight="1">
      <c r="A15" s="210" t="s">
        <v>19</v>
      </c>
      <c r="B15" s="210" t="s">
        <v>115</v>
      </c>
      <c r="C15" s="210" t="s">
        <v>1616</v>
      </c>
      <c r="D15" s="210" t="s">
        <v>1956</v>
      </c>
      <c r="E15" s="210" t="s">
        <v>1649</v>
      </c>
    </row>
    <row r="16" ht="13.5" customHeight="1">
      <c r="A16" s="211" t="s">
        <v>1957</v>
      </c>
      <c r="B16" s="214" cm="1">
        <f t="array" ref="B16">G12</f>
        <v>1814.37238493724</v>
      </c>
      <c r="C16" s="214">
        <v>1785</v>
      </c>
      <c r="D16" s="228">
        <f t="shared" si="4" ref="D16:D19">B16-C16</f>
        <v>29.37238493724</v>
      </c>
      <c r="E16" s="216">
        <v>0.032</v>
      </c>
    </row>
    <row r="17" ht="13.5" customHeight="1">
      <c r="A17" s="211" t="s">
        <v>1947</v>
      </c>
      <c r="B17" s="449" cm="1">
        <f t="array" ref="B17">H12</f>
        <v>1.98733376369378</v>
      </c>
      <c r="C17" s="449">
        <v>1.92</v>
      </c>
      <c r="D17" s="454">
        <f t="shared" si="4"/>
        <v>0.0673337636937801</v>
      </c>
      <c r="E17" s="216">
        <v>0.028</v>
      </c>
    </row>
    <row r="18" ht="13.5" customHeight="1">
      <c r="A18" s="211" t="s">
        <v>26</v>
      </c>
      <c r="B18" s="215" cm="1">
        <f t="array" ref="B18">D12</f>
        <v>0.952191235059761</v>
      </c>
      <c r="C18" s="215">
        <v>0.948</v>
      </c>
      <c r="D18" s="216">
        <f t="shared" si="4"/>
        <v>0.00419123505976104</v>
      </c>
      <c r="E18" s="216">
        <v>0.012</v>
      </c>
    </row>
    <row r="19" ht="13.5" customHeight="1">
      <c r="A19" s="211" t="s">
        <v>1958</v>
      </c>
      <c r="B19" s="235" cm="1">
        <f t="array" ref="B19">I12</f>
        <v>18.1</v>
      </c>
      <c r="C19" s="235">
        <v>16.8</v>
      </c>
      <c r="D19" s="236">
        <f t="shared" si="4"/>
        <v>1.3</v>
      </c>
      <c r="E19" s="216">
        <v>0.085</v>
      </c>
    </row>
  </sheetData>
  <hyperlinks>
    <hyperlink ref="L1" r:id="rId1" display="← Back to Alerts"/>
  </hyperlink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D3CD51E-F971-6D38-FABC-324EDE3265E8}" mc:Ignorable="x14ac xr xr2 xr3">
  <dimension ref="A1:GR50000"/>
  <sheetViews>
    <sheetView showGridLines="0" topLeftCell="A1" workbookViewId="0">
      <selection activeCell="A1" sqref="A1"/>
    </sheetView>
  </sheetViews>
  <sheetFormatPr defaultRowHeight="15" defaultColWidth="7.75390625" customHeight="1"/>
  <cols>
    <col min="1" max="1" width="17.50390625" customWidth="1"/>
  </cols>
  <sheetData>
    <row r="1" ht="19.5" customHeight="1">
      <c r="A1" s="340" t="s">
        <v>1959</v>
      </c>
      <c r="B1" s="340"/>
      <c r="C1" s="340"/>
      <c r="D1" s="340"/>
      <c r="E1" s="340"/>
      <c r="F1" s="340"/>
      <c r="G1" s="340"/>
      <c r="H1" s="340"/>
      <c r="I1" s="340"/>
      <c r="J1" s="340"/>
      <c r="L1" s="354" t="str">
        <f>HYPERLINK("#Alert_Dashboard!B2","← Back to Alerts")</f>
        <v>← Back to Alerts</v>
      </c>
    </row>
    <row r="3" ht="15.75" customHeight="1">
      <c r="A3" s="222" t="s">
        <v>1960</v>
      </c>
      <c r="B3" s="222"/>
      <c r="C3" s="222"/>
      <c r="D3" s="222"/>
      <c r="E3" s="222"/>
      <c r="F3" s="222"/>
      <c r="G3" s="222"/>
      <c r="H3" s="222"/>
      <c r="I3" s="222"/>
      <c r="J3" s="222"/>
    </row>
    <row r="4" ht="13.5" customHeight="1">
      <c r="A4" s="210" t="s">
        <v>1961</v>
      </c>
      <c r="B4" s="210" t="s">
        <v>1962</v>
      </c>
      <c r="C4" s="210" t="s">
        <v>1963</v>
      </c>
      <c r="D4" s="210" t="s">
        <v>1964</v>
      </c>
      <c r="E4" s="210" t="s">
        <v>1965</v>
      </c>
      <c r="F4" s="210" t="s">
        <v>1966</v>
      </c>
      <c r="G4" s="210" t="s">
        <v>1967</v>
      </c>
      <c r="H4" s="210" t="s">
        <v>1968</v>
      </c>
    </row>
    <row r="5" ht="13.5" customHeight="1">
      <c r="A5" s="211" t="s">
        <v>1969</v>
      </c>
      <c r="B5" s="212">
        <v>28</v>
      </c>
      <c r="C5" s="212">
        <v>18</v>
      </c>
      <c r="D5" s="215">
        <f t="shared" si="0" ref="D5:D10">IF(B5=0,0,C5/B5)</f>
        <v>0.642857142857143</v>
      </c>
      <c r="E5" s="215">
        <v>0.042</v>
      </c>
      <c r="F5" s="214">
        <v>125</v>
      </c>
      <c r="G5" s="212">
        <v>4</v>
      </c>
      <c r="H5" s="212">
        <v>6</v>
      </c>
    </row>
    <row r="6" ht="13.5" customHeight="1">
      <c r="A6" s="211" t="s">
        <v>1970</v>
      </c>
      <c r="B6" s="212">
        <v>22</v>
      </c>
      <c r="C6" s="212">
        <v>17</v>
      </c>
      <c r="D6" s="215">
        <f t="shared" si="0"/>
        <v>0.772727272727273</v>
      </c>
      <c r="E6" s="215">
        <v>0.038</v>
      </c>
      <c r="F6" s="214">
        <v>85</v>
      </c>
      <c r="G6" s="212">
        <v>2</v>
      </c>
      <c r="H6" s="212">
        <v>3</v>
      </c>
    </row>
    <row r="7" ht="13.5" customHeight="1">
      <c r="A7" s="211" t="s">
        <v>1971</v>
      </c>
      <c r="B7" s="212">
        <v>15</v>
      </c>
      <c r="C7" s="212">
        <v>14</v>
      </c>
      <c r="D7" s="215">
        <f t="shared" si="0"/>
        <v>0.933333333333333</v>
      </c>
      <c r="E7" s="215">
        <v>0.032</v>
      </c>
      <c r="F7" s="214">
        <v>50</v>
      </c>
      <c r="G7" s="212">
        <v>0</v>
      </c>
      <c r="H7" s="212">
        <v>1</v>
      </c>
    </row>
    <row r="8" ht="13.5" customHeight="1">
      <c r="A8" s="211" t="s">
        <v>1972</v>
      </c>
      <c r="B8" s="212">
        <v>8</v>
      </c>
      <c r="C8" s="212">
        <v>5</v>
      </c>
      <c r="D8" s="215">
        <f t="shared" si="0"/>
        <v>0.625</v>
      </c>
      <c r="E8" s="215">
        <v>0.025</v>
      </c>
      <c r="F8" s="214">
        <v>0</v>
      </c>
      <c r="G8" s="212">
        <v>3</v>
      </c>
      <c r="H8" s="212">
        <v>0</v>
      </c>
    </row>
    <row r="9" ht="13.5" customHeight="1">
      <c r="A9" s="211" t="s">
        <v>1973</v>
      </c>
      <c r="B9" s="212">
        <v>4</v>
      </c>
      <c r="C9" s="212">
        <v>2</v>
      </c>
      <c r="D9" s="215">
        <f t="shared" si="0"/>
        <v>0.5</v>
      </c>
      <c r="E9" s="215">
        <v>0.05</v>
      </c>
      <c r="F9" s="214">
        <v>150</v>
      </c>
      <c r="G9" s="212">
        <v>1</v>
      </c>
      <c r="H9" s="212">
        <v>1</v>
      </c>
    </row>
    <row r="10" ht="13.5" customHeight="1">
      <c r="A10" s="430" t="s">
        <v>1637</v>
      </c>
      <c r="B10" s="450">
        <f t="shared" si="1" ref="B10:H10">SUM(B5:B9)</f>
        <v>77</v>
      </c>
      <c r="C10" s="450">
        <f t="shared" si="1"/>
        <v>56</v>
      </c>
      <c r="D10" s="433">
        <f t="shared" si="0"/>
        <v>0.727272727272727</v>
      </c>
      <c r="E10" s="433">
        <f>SUMPRODUCT(C5:C9,E5:E9)/SUM(C5:C9)</f>
        <v>0.0370535714285714</v>
      </c>
      <c r="F10" s="451">
        <f>SUMPRODUCT(C5:C9,F5:F9)/SUM(C5:C9)</f>
        <v>83.8392857142857</v>
      </c>
      <c r="G10" s="450">
        <f t="shared" si="1"/>
        <v>10</v>
      </c>
      <c r="H10" s="450">
        <f t="shared" si="1"/>
        <v>11</v>
      </c>
    </row>
    <row r="12" ht="15.75" customHeight="1">
      <c r="A12" s="222" t="s">
        <v>1974</v>
      </c>
      <c r="G12" s="209" t="s">
        <v>1555</v>
      </c>
    </row>
    <row r="13" ht="13.5" customHeight="1">
      <c r="A13" s="210" t="s">
        <v>1975</v>
      </c>
      <c r="B13" s="210" t="s">
        <v>1976</v>
      </c>
      <c r="C13" s="210" t="s">
        <v>1977</v>
      </c>
      <c r="D13" s="210" t="s">
        <v>1978</v>
      </c>
      <c r="E13" s="210" t="s">
        <v>1979</v>
      </c>
      <c r="G13" s="211" t="s">
        <v>572</v>
      </c>
      <c r="H13" s="439">
        <f>AVERAGE(B22:M22)</f>
        <v>0.695833333333333</v>
      </c>
    </row>
    <row r="14" ht="13.5" customHeight="1">
      <c r="A14" s="211" t="s">
        <v>1980</v>
      </c>
      <c r="B14" s="212">
        <v>12</v>
      </c>
      <c r="C14" s="214">
        <v>1650</v>
      </c>
      <c r="D14" s="214">
        <f t="shared" si="2" ref="D14:D18">B14*C14</f>
        <v>19800</v>
      </c>
      <c r="E14" s="215">
        <v>0.83</v>
      </c>
      <c r="G14" s="211" t="s">
        <v>1981</v>
      </c>
      <c r="H14" s="455">
        <v>0.023</v>
      </c>
    </row>
    <row r="15" ht="13.5" customHeight="1">
      <c r="A15" s="211" t="s">
        <v>1982</v>
      </c>
      <c r="B15" s="212">
        <v>18</v>
      </c>
      <c r="C15" s="214">
        <v>480</v>
      </c>
      <c r="D15" s="214">
        <f t="shared" si="2"/>
        <v>8640</v>
      </c>
      <c r="E15" s="215">
        <v>0.89</v>
      </c>
      <c r="G15" s="211" t="s">
        <v>1983</v>
      </c>
      <c r="H15" s="363" cm="1">
        <f t="array" ref="H15">F10</f>
        <v>83.8392857142857</v>
      </c>
    </row>
    <row r="16" ht="13.5" customHeight="1">
      <c r="A16" s="211" t="s">
        <v>1984</v>
      </c>
      <c r="B16" s="212">
        <v>8</v>
      </c>
      <c r="C16" s="214">
        <v>350</v>
      </c>
      <c r="D16" s="214">
        <f t="shared" si="2"/>
        <v>2800</v>
      </c>
      <c r="E16" s="215">
        <v>0.75</v>
      </c>
      <c r="G16" s="211" t="s">
        <v>1985</v>
      </c>
      <c r="H16" s="439">
        <f>IF(B10=0,0,H10/B10)</f>
        <v>0.142857142857143</v>
      </c>
    </row>
    <row r="17" ht="13.5" customHeight="1">
      <c r="A17" s="211" t="s">
        <v>1986</v>
      </c>
      <c r="B17" s="212">
        <v>6</v>
      </c>
      <c r="C17" s="214">
        <v>500</v>
      </c>
      <c r="D17" s="214">
        <f t="shared" si="2"/>
        <v>3000</v>
      </c>
      <c r="E17" s="215">
        <v>0.67</v>
      </c>
      <c r="G17" s="211" t="s">
        <v>1987</v>
      </c>
      <c r="H17" s="439">
        <f>IF(B10=0,0,G10/B10)</f>
        <v>0.12987012987013</v>
      </c>
    </row>
    <row r="18" ht="13.5" customHeight="1">
      <c r="A18" s="211" t="s">
        <v>1988</v>
      </c>
      <c r="B18" s="212">
        <v>33</v>
      </c>
      <c r="C18" s="214">
        <v>0</v>
      </c>
      <c r="D18" s="214">
        <f t="shared" si="2"/>
        <v>0</v>
      </c>
      <c r="E18" s="215">
        <v>1</v>
      </c>
    </row>
    <row r="20" ht="15.75" customHeight="1">
      <c r="A20" s="222" t="s">
        <v>1989</v>
      </c>
    </row>
    <row r="21" ht="13.5" customHeight="1">
      <c r="A21" s="417" t="s">
        <v>39</v>
      </c>
      <c r="B21" s="417" t="s">
        <v>43</v>
      </c>
      <c r="C21" s="417" t="s">
        <v>45</v>
      </c>
      <c r="D21" s="417" t="s">
        <v>47</v>
      </c>
      <c r="E21" s="417" t="s">
        <v>49</v>
      </c>
      <c r="F21" s="417" t="s">
        <v>51</v>
      </c>
      <c r="G21" s="417" t="s">
        <v>53</v>
      </c>
      <c r="H21" s="417" t="s">
        <v>55</v>
      </c>
      <c r="I21" s="417" t="s">
        <v>57</v>
      </c>
      <c r="J21" s="417" t="s">
        <v>58</v>
      </c>
      <c r="K21" s="417" t="s">
        <v>59</v>
      </c>
      <c r="L21" s="417" t="s">
        <v>60</v>
      </c>
      <c r="M21" s="417" t="s">
        <v>61</v>
      </c>
    </row>
    <row r="22" ht="13.5" customHeight="1">
      <c r="A22" s="211" t="s">
        <v>1990</v>
      </c>
      <c r="B22" s="215">
        <v>0.68</v>
      </c>
      <c r="C22" s="215">
        <v>0.71</v>
      </c>
      <c r="D22" s="215">
        <v>0.74</v>
      </c>
      <c r="E22" s="215">
        <v>0.72</v>
      </c>
      <c r="F22" s="215">
        <v>0.69</v>
      </c>
      <c r="G22" s="215">
        <v>0.65</v>
      </c>
      <c r="H22" s="215">
        <v>0.62</v>
      </c>
      <c r="I22" s="215">
        <v>0.64</v>
      </c>
      <c r="J22" s="215">
        <v>0.7</v>
      </c>
      <c r="K22" s="215">
        <v>0.73</v>
      </c>
      <c r="L22" s="215">
        <v>0.75</v>
      </c>
      <c r="M22" s="215">
        <v>0.72</v>
      </c>
    </row>
    <row r="23" ht="13.5" customHeight="1">
      <c r="A23" s="211" t="s">
        <v>1991</v>
      </c>
      <c r="B23" s="212">
        <v>18</v>
      </c>
      <c r="C23" s="212">
        <v>22</v>
      </c>
      <c r="D23" s="212">
        <v>25</v>
      </c>
      <c r="E23" s="212">
        <v>28</v>
      </c>
      <c r="F23" s="212">
        <v>32</v>
      </c>
      <c r="G23" s="212">
        <v>35</v>
      </c>
      <c r="H23" s="212">
        <v>38</v>
      </c>
      <c r="I23" s="212">
        <v>34</v>
      </c>
      <c r="J23" s="212">
        <v>28</v>
      </c>
      <c r="K23" s="212">
        <v>24</v>
      </c>
      <c r="L23" s="212">
        <v>20</v>
      </c>
      <c r="M23" s="212">
        <v>18</v>
      </c>
    </row>
    <row r="24" ht="13.5" customHeight="1">
      <c r="A24" s="211" t="s">
        <v>1992</v>
      </c>
      <c r="B24" s="212">
        <f t="shared" si="3" ref="B24:M24">ROUND(B23*B22,0)</f>
        <v>12</v>
      </c>
      <c r="C24" s="212">
        <f t="shared" si="3"/>
        <v>16</v>
      </c>
      <c r="D24" s="212">
        <f t="shared" si="3"/>
        <v>19</v>
      </c>
      <c r="E24" s="212">
        <f t="shared" si="3"/>
        <v>20</v>
      </c>
      <c r="F24" s="212">
        <f t="shared" si="3"/>
        <v>22</v>
      </c>
      <c r="G24" s="212">
        <f t="shared" si="3"/>
        <v>23</v>
      </c>
      <c r="H24" s="212">
        <f t="shared" si="3"/>
        <v>24</v>
      </c>
      <c r="I24" s="212">
        <f t="shared" si="3"/>
        <v>22</v>
      </c>
      <c r="J24" s="212">
        <f t="shared" si="3"/>
        <v>20</v>
      </c>
      <c r="K24" s="212">
        <f t="shared" si="3"/>
        <v>18</v>
      </c>
      <c r="L24" s="212">
        <f t="shared" si="3"/>
        <v>15</v>
      </c>
      <c r="M24" s="212">
        <f t="shared" si="3"/>
        <v>13</v>
      </c>
    </row>
  </sheetData>
  <hyperlinks>
    <hyperlink ref="L1" r:id="rId1" display="← Back to Alerts"/>
  </hyperlink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8F89B6B-67A8-949E-1728-89A70E04C645}" mc:Ignorable="x14ac xr xr2 xr3">
  <dimension ref="A1:GR50000"/>
  <sheetViews>
    <sheetView showGridLines="0" topLeftCell="A1" workbookViewId="0">
      <selection activeCell="A1" sqref="A1"/>
    </sheetView>
  </sheetViews>
  <sheetFormatPr defaultRowHeight="15" defaultColWidth="7.75390625" customHeight="1"/>
  <cols>
    <col min="1" max="1" width="17.50390625" customWidth="1"/>
  </cols>
  <sheetData>
    <row r="1" ht="19.5" customHeight="1">
      <c r="A1" s="340" t="s">
        <v>1993</v>
      </c>
      <c r="B1" s="340"/>
      <c r="C1" s="340"/>
      <c r="D1" s="340"/>
      <c r="E1" s="340"/>
      <c r="F1" s="340"/>
      <c r="G1" s="340"/>
      <c r="H1" s="340"/>
      <c r="I1" s="340"/>
      <c r="J1" s="340"/>
      <c r="L1" s="354" t="str">
        <f>HYPERLINK("#Alert_Dashboard!B2","← Back to Alerts")</f>
        <v>← Back to Alerts</v>
      </c>
    </row>
    <row r="3" ht="16.5" customHeight="1">
      <c r="A3" s="222" t="s">
        <v>1994</v>
      </c>
      <c r="B3" s="222"/>
      <c r="C3" s="222"/>
      <c r="D3" s="222"/>
      <c r="E3" s="222"/>
      <c r="F3" s="222"/>
      <c r="G3" s="222"/>
      <c r="H3" s="222"/>
      <c r="I3" s="222"/>
      <c r="J3" s="225" t="s">
        <v>1555</v>
      </c>
    </row>
    <row r="4" ht="19.5" customHeight="1">
      <c r="A4" s="210" t="s">
        <v>1995</v>
      </c>
      <c r="B4" s="210" t="s">
        <v>975</v>
      </c>
      <c r="C4" s="210" t="s">
        <v>556</v>
      </c>
      <c r="D4" s="210" t="s">
        <v>1996</v>
      </c>
      <c r="E4" s="210" t="s">
        <v>1997</v>
      </c>
      <c r="F4" s="210" t="s">
        <v>1998</v>
      </c>
      <c r="G4" s="210" t="s">
        <v>1999</v>
      </c>
      <c r="H4" s="210" t="s">
        <v>2000</v>
      </c>
      <c r="J4" s="211" t="s">
        <v>2001</v>
      </c>
      <c r="K4" s="238" cm="1">
        <f t="array" ref="K4">C12</f>
        <v>19</v>
      </c>
    </row>
    <row r="5" ht="19.5" customHeight="1">
      <c r="A5" s="211" t="s">
        <v>44</v>
      </c>
      <c r="B5" s="212">
        <v>24</v>
      </c>
      <c r="C5" s="212">
        <v>2</v>
      </c>
      <c r="D5" s="215">
        <f t="shared" si="0" ref="D5:D12">IF(B5=0,0,C5/B5)</f>
        <v>0.0833333333333333</v>
      </c>
      <c r="E5" s="214">
        <v>1850</v>
      </c>
      <c r="F5" s="214">
        <f t="shared" si="1" ref="F5:F11">C5*E5</f>
        <v>3700</v>
      </c>
      <c r="G5" s="235">
        <v>8</v>
      </c>
      <c r="H5" s="235">
        <v>12</v>
      </c>
      <c r="J5" s="211" t="s">
        <v>1126</v>
      </c>
      <c r="K5" s="226" cm="1">
        <f t="array" ref="K5">D12</f>
        <v>0.0756972111553785</v>
      </c>
    </row>
    <row r="6" ht="19.5" customHeight="1">
      <c r="A6" s="211" t="s">
        <v>1949</v>
      </c>
      <c r="B6" s="212">
        <v>68</v>
      </c>
      <c r="C6" s="212">
        <v>5</v>
      </c>
      <c r="D6" s="215">
        <f t="shared" si="0"/>
        <v>0.0735294117647059</v>
      </c>
      <c r="E6" s="214">
        <v>2250</v>
      </c>
      <c r="F6" s="214">
        <f t="shared" si="1"/>
        <v>11250</v>
      </c>
      <c r="G6" s="235">
        <v>10</v>
      </c>
      <c r="H6" s="235">
        <v>15</v>
      </c>
      <c r="J6" s="211" t="s">
        <v>2002</v>
      </c>
      <c r="K6" s="230" cm="1">
        <f t="array" ref="K6">E12</f>
        <v>2628.94736842105</v>
      </c>
    </row>
    <row r="7" ht="19.5" customHeight="1">
      <c r="A7" s="211" t="s">
        <v>1950</v>
      </c>
      <c r="B7" s="212">
        <v>32</v>
      </c>
      <c r="C7" s="212">
        <v>3</v>
      </c>
      <c r="D7" s="215">
        <f t="shared" si="0"/>
        <v>0.09375</v>
      </c>
      <c r="E7" s="214">
        <v>2450</v>
      </c>
      <c r="F7" s="214">
        <f t="shared" si="1"/>
        <v>7350</v>
      </c>
      <c r="G7" s="235">
        <v>9</v>
      </c>
      <c r="H7" s="235">
        <v>14</v>
      </c>
      <c r="J7" s="211" t="s">
        <v>2003</v>
      </c>
      <c r="K7" s="230" cm="1">
        <f t="array" ref="K7">F12</f>
        <v>49950</v>
      </c>
    </row>
    <row r="8" ht="19.5" customHeight="1">
      <c r="A8" s="211" t="s">
        <v>1951</v>
      </c>
      <c r="B8" s="212">
        <v>45</v>
      </c>
      <c r="C8" s="212">
        <v>4</v>
      </c>
      <c r="D8" s="215">
        <f t="shared" si="0"/>
        <v>0.0888888888888889</v>
      </c>
      <c r="E8" s="214">
        <v>2850</v>
      </c>
      <c r="F8" s="214">
        <f t="shared" si="1"/>
        <v>11400</v>
      </c>
      <c r="G8" s="235">
        <v>12</v>
      </c>
      <c r="H8" s="235">
        <v>18</v>
      </c>
      <c r="J8" s="211" t="s">
        <v>2004</v>
      </c>
      <c r="K8" s="234" cm="1">
        <f t="array" ref="K8">G12</f>
        <v>10.4736842105263</v>
      </c>
    </row>
    <row r="9" ht="19.5" customHeight="1">
      <c r="A9" s="211" t="s">
        <v>1952</v>
      </c>
      <c r="B9" s="212">
        <v>56</v>
      </c>
      <c r="C9" s="212">
        <v>4</v>
      </c>
      <c r="D9" s="215">
        <f t="shared" si="0"/>
        <v>0.0714285714285714</v>
      </c>
      <c r="E9" s="214">
        <v>3150</v>
      </c>
      <c r="F9" s="214">
        <f t="shared" si="1"/>
        <v>12600</v>
      </c>
      <c r="G9" s="235">
        <v>11</v>
      </c>
      <c r="H9" s="235">
        <v>16</v>
      </c>
      <c r="J9" s="211" t="s">
        <v>2005</v>
      </c>
      <c r="K9" s="234" cm="1">
        <f t="array" ref="K9">H12</f>
        <v>15.6842105263158</v>
      </c>
    </row>
    <row r="10" ht="19.5" customHeight="1">
      <c r="A10" s="211" t="s">
        <v>1953</v>
      </c>
      <c r="B10" s="212">
        <v>18</v>
      </c>
      <c r="C10" s="212">
        <v>1</v>
      </c>
      <c r="D10" s="215">
        <f t="shared" si="0"/>
        <v>0.0555555555555556</v>
      </c>
      <c r="E10" s="214">
        <v>3650</v>
      </c>
      <c r="F10" s="214">
        <f t="shared" si="1"/>
        <v>3650</v>
      </c>
      <c r="G10" s="235">
        <v>14</v>
      </c>
      <c r="H10" s="235">
        <v>21</v>
      </c>
      <c r="J10" s="211" t="s">
        <v>2006</v>
      </c>
      <c r="K10" s="234" cm="1">
        <f t="array" ref="K10">C23</f>
        <v>12.5</v>
      </c>
    </row>
    <row r="11" ht="19.5" customHeight="1">
      <c r="A11" s="211" t="s">
        <v>56</v>
      </c>
      <c r="B11" s="212">
        <v>8</v>
      </c>
      <c r="C11" s="212">
        <v>0</v>
      </c>
      <c r="D11" s="215">
        <f t="shared" si="0"/>
        <v>0</v>
      </c>
      <c r="E11" s="214">
        <v>4500</v>
      </c>
      <c r="F11" s="214">
        <f t="shared" si="1"/>
        <v>0</v>
      </c>
      <c r="G11" s="235">
        <v>0</v>
      </c>
      <c r="H11" s="235">
        <v>0</v>
      </c>
      <c r="J11" s="211" t="s">
        <v>2007</v>
      </c>
      <c r="K11" s="226" cm="1">
        <f t="array" ref="K11">E23</f>
        <v>0.861428571428571</v>
      </c>
    </row>
    <row r="12" ht="13.5" customHeight="1">
      <c r="A12" s="430" t="s">
        <v>2008</v>
      </c>
      <c r="B12" s="450">
        <f t="shared" si="2" ref="B12:F23">SUM(B5:B11)</f>
        <v>251</v>
      </c>
      <c r="C12" s="450">
        <f t="shared" si="2"/>
        <v>19</v>
      </c>
      <c r="D12" s="433">
        <f t="shared" si="0"/>
        <v>0.0756972111553785</v>
      </c>
      <c r="E12" s="451">
        <f>IF(C12=0,0,F12/C12)</f>
        <v>2628.94736842105</v>
      </c>
      <c r="F12" s="451">
        <f t="shared" si="2"/>
        <v>49950</v>
      </c>
      <c r="G12" s="453">
        <f>SUMPRODUCT(C5:C11,G5:G11)/SUM(C5:C11)</f>
        <v>10.4736842105263</v>
      </c>
      <c r="H12" s="453">
        <f>SUMPRODUCT(C5:C11,H5:H11)/SUM(C5:C11)</f>
        <v>15.6842105263158</v>
      </c>
    </row>
    <row r="14" ht="15.75" customHeight="1">
      <c r="A14" s="222" t="s">
        <v>2009</v>
      </c>
      <c r="G14" s="222" t="s">
        <v>2010</v>
      </c>
    </row>
    <row r="15" ht="13.5" customHeight="1">
      <c r="A15" s="210" t="s">
        <v>2011</v>
      </c>
      <c r="B15" s="210" t="s">
        <v>2012</v>
      </c>
      <c r="C15" s="210" t="s">
        <v>2013</v>
      </c>
      <c r="D15" s="210" t="s">
        <v>22</v>
      </c>
      <c r="E15" s="210" t="s">
        <v>2014</v>
      </c>
      <c r="G15" s="210" t="s">
        <v>92</v>
      </c>
      <c r="H15" s="210" t="s">
        <v>1997</v>
      </c>
      <c r="I15" s="210" t="s">
        <v>380</v>
      </c>
      <c r="J15" s="210" t="s">
        <v>22</v>
      </c>
    </row>
    <row r="16" ht="13.5" customHeight="1">
      <c r="A16" s="211" t="s">
        <v>2015</v>
      </c>
      <c r="B16" s="235">
        <v>1</v>
      </c>
      <c r="C16" s="235">
        <v>0.8</v>
      </c>
      <c r="D16" s="236">
        <f t="shared" si="3" ref="D16:D23">C16-B16</f>
        <v>-0.2</v>
      </c>
      <c r="E16" s="215">
        <v>0.94</v>
      </c>
      <c r="G16" s="211" t="s">
        <v>2016</v>
      </c>
      <c r="H16" s="214">
        <v>425</v>
      </c>
      <c r="I16" s="215">
        <f t="shared" si="4" ref="I16:I23">IF($H$24=0,0,H16/$H$24)</f>
        <v>0.161658425256752</v>
      </c>
      <c r="J16" s="228">
        <v>25</v>
      </c>
    </row>
    <row r="17" ht="13.5" customHeight="1">
      <c r="A17" s="211" t="s">
        <v>2016</v>
      </c>
      <c r="B17" s="235">
        <v>2</v>
      </c>
      <c r="C17" s="235">
        <v>2.2</v>
      </c>
      <c r="D17" s="236">
        <f t="shared" si="3"/>
        <v>0.2</v>
      </c>
      <c r="E17" s="215">
        <v>0.85</v>
      </c>
      <c r="G17" s="211" t="s">
        <v>2017</v>
      </c>
      <c r="H17" s="214">
        <v>650</v>
      </c>
      <c r="I17" s="215">
        <f t="shared" si="4"/>
        <v>0.247242297451502</v>
      </c>
      <c r="J17" s="228">
        <v>-50</v>
      </c>
    </row>
    <row r="18" ht="13.5" customHeight="1">
      <c r="A18" s="211" t="s">
        <v>2017</v>
      </c>
      <c r="B18" s="235">
        <v>2</v>
      </c>
      <c r="C18" s="235">
        <v>2.5</v>
      </c>
      <c r="D18" s="236">
        <f t="shared" si="3"/>
        <v>0.5</v>
      </c>
      <c r="E18" s="215">
        <v>0.78</v>
      </c>
      <c r="G18" s="211" t="s">
        <v>2018</v>
      </c>
      <c r="H18" s="214">
        <v>485</v>
      </c>
      <c r="I18" s="215">
        <f t="shared" si="4"/>
        <v>0.184480791175352</v>
      </c>
      <c r="J18" s="228">
        <v>85</v>
      </c>
    </row>
    <row r="19" ht="13.5" customHeight="1">
      <c r="A19" s="211" t="s">
        <v>2019</v>
      </c>
      <c r="B19" s="235">
        <v>3</v>
      </c>
      <c r="C19" s="235">
        <v>3.8</v>
      </c>
      <c r="D19" s="236">
        <f t="shared" si="3"/>
        <v>0.8</v>
      </c>
      <c r="E19" s="215">
        <v>0.72</v>
      </c>
      <c r="G19" s="211" t="s">
        <v>2020</v>
      </c>
      <c r="H19" s="214">
        <v>320</v>
      </c>
      <c r="I19" s="215">
        <f t="shared" si="4"/>
        <v>0.121719284899201</v>
      </c>
      <c r="J19" s="228">
        <v>-15</v>
      </c>
    </row>
    <row r="20" ht="13.5" customHeight="1">
      <c r="A20" s="211" t="s">
        <v>2021</v>
      </c>
      <c r="B20" s="235">
        <v>2</v>
      </c>
      <c r="C20" s="235">
        <v>2.1</v>
      </c>
      <c r="D20" s="236">
        <f t="shared" si="3"/>
        <v>0.1</v>
      </c>
      <c r="E20" s="215">
        <v>0.88</v>
      </c>
      <c r="G20" s="211" t="s">
        <v>2022</v>
      </c>
      <c r="H20" s="214">
        <v>185</v>
      </c>
      <c r="I20" s="215">
        <f t="shared" si="4"/>
        <v>0.0703689615823507</v>
      </c>
      <c r="J20" s="228">
        <v>10</v>
      </c>
    </row>
    <row r="21" ht="13.5" customHeight="1">
      <c r="A21" s="211" t="s">
        <v>2023</v>
      </c>
      <c r="B21" s="235">
        <v>1</v>
      </c>
      <c r="C21" s="235">
        <v>0.9</v>
      </c>
      <c r="D21" s="236">
        <f t="shared" si="3"/>
        <v>-0.1</v>
      </c>
      <c r="E21" s="215">
        <v>0.96</v>
      </c>
      <c r="G21" s="211" t="s">
        <v>2024</v>
      </c>
      <c r="H21" s="214">
        <v>215</v>
      </c>
      <c r="I21" s="215">
        <f t="shared" si="4"/>
        <v>0.0817801445416508</v>
      </c>
      <c r="J21" s="228">
        <v>30</v>
      </c>
    </row>
    <row r="22" ht="13.5" customHeight="1">
      <c r="A22" s="211" t="s">
        <v>2025</v>
      </c>
      <c r="B22" s="235">
        <v>0</v>
      </c>
      <c r="C22" s="235">
        <v>0.2</v>
      </c>
      <c r="D22" s="236">
        <f t="shared" si="3"/>
        <v>0.2</v>
      </c>
      <c r="E22" s="215">
        <v>0.9</v>
      </c>
      <c r="G22" s="211" t="s">
        <v>2026</v>
      </c>
      <c r="H22" s="214">
        <v>125</v>
      </c>
      <c r="I22" s="215">
        <f t="shared" si="4"/>
        <v>0.0475465956637505</v>
      </c>
      <c r="J22" s="228">
        <v>-5</v>
      </c>
    </row>
    <row r="23" ht="13.5" customHeight="1">
      <c r="A23" s="434" t="s">
        <v>2027</v>
      </c>
      <c r="B23" s="456">
        <f t="shared" si="2"/>
        <v>11</v>
      </c>
      <c r="C23" s="456">
        <f t="shared" si="2"/>
        <v>12.5</v>
      </c>
      <c r="D23" s="457">
        <f t="shared" si="3"/>
        <v>1.5</v>
      </c>
      <c r="E23" s="436">
        <f>AVERAGE(E16:E22)</f>
        <v>0.861428571428571</v>
      </c>
      <c r="G23" s="211" t="s">
        <v>2028</v>
      </c>
      <c r="H23" s="214">
        <v>224</v>
      </c>
      <c r="I23" s="215">
        <f t="shared" si="4"/>
        <v>0.0852034994294408</v>
      </c>
      <c r="J23" s="228">
        <v>20</v>
      </c>
    </row>
    <row r="24" ht="13.5" customHeight="1">
      <c r="G24" s="434" t="s">
        <v>1637</v>
      </c>
      <c r="H24" s="458">
        <f t="shared" si="5" ref="H24:J24">SUM(H16:H23)</f>
        <v>2629</v>
      </c>
      <c r="I24" s="436">
        <f t="shared" si="5"/>
        <v>1</v>
      </c>
      <c r="J24" s="459">
        <f t="shared" si="5"/>
        <v>100</v>
      </c>
    </row>
  </sheetData>
  <hyperlinks>
    <hyperlink ref="L1" r:id="rId1" display="← Back to Alerts"/>
  </hyperlink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97368CA-FA99-7658-1632-417CADB16531}" mc:Ignorable="x14ac xr xr2 xr3">
  <dimension ref="A1:GR50000"/>
  <sheetViews>
    <sheetView showGridLines="0" topLeftCell="A1" workbookViewId="0">
      <selection activeCell="A1" sqref="A1"/>
    </sheetView>
  </sheetViews>
  <sheetFormatPr defaultRowHeight="15" defaultColWidth="7.75390625" customHeight="1"/>
  <cols>
    <col min="1" max="1" width="17.50390625" customWidth="1"/>
  </cols>
  <sheetData>
    <row r="1" ht="19.5" customHeight="1">
      <c r="A1" s="340" t="s">
        <v>2029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</row>
    <row r="3" ht="15.75" customHeight="1">
      <c r="A3" s="222" t="s">
        <v>2030</v>
      </c>
      <c r="B3" s="222"/>
      <c r="C3" s="222"/>
      <c r="D3" s="222"/>
      <c r="E3" s="222"/>
      <c r="F3" s="222"/>
      <c r="G3" s="222"/>
      <c r="H3" s="222"/>
      <c r="I3" s="209" t="s">
        <v>1555</v>
      </c>
      <c r="J3" s="222"/>
      <c r="K3" s="222"/>
      <c r="L3" s="222"/>
    </row>
    <row r="4" ht="13.5" customHeight="1">
      <c r="A4" s="210" t="s">
        <v>92</v>
      </c>
      <c r="B4" s="210" t="s">
        <v>498</v>
      </c>
      <c r="C4" s="210" t="s">
        <v>494</v>
      </c>
      <c r="D4" s="210" t="s">
        <v>2031</v>
      </c>
      <c r="E4" s="210" t="s">
        <v>2032</v>
      </c>
      <c r="F4" s="210" t="s">
        <v>2014</v>
      </c>
      <c r="G4" s="210" t="s">
        <v>2033</v>
      </c>
      <c r="I4" s="211" t="s">
        <v>2034</v>
      </c>
      <c r="J4" s="460" cm="1">
        <f t="array" ref="J4">B11</f>
        <v>64</v>
      </c>
    </row>
    <row r="5" ht="13.5" customHeight="1">
      <c r="A5" s="211" t="s">
        <v>2024</v>
      </c>
      <c r="B5" s="212">
        <v>8</v>
      </c>
      <c r="C5" s="212">
        <v>4</v>
      </c>
      <c r="D5" s="212">
        <v>42</v>
      </c>
      <c r="E5" s="235">
        <v>18.5</v>
      </c>
      <c r="F5" s="215">
        <v>0.88</v>
      </c>
      <c r="G5" s="212">
        <f t="shared" si="0" ref="G5:G10">B5+C5</f>
        <v>12</v>
      </c>
      <c r="I5" s="211" t="s">
        <v>2035</v>
      </c>
      <c r="J5" s="460" cm="1">
        <f t="array" ref="J5">G11</f>
        <v>95</v>
      </c>
    </row>
    <row r="6" ht="13.5" customHeight="1">
      <c r="A6" s="211" t="s">
        <v>918</v>
      </c>
      <c r="B6" s="212">
        <v>12</v>
      </c>
      <c r="C6" s="212">
        <v>6</v>
      </c>
      <c r="D6" s="212">
        <v>38</v>
      </c>
      <c r="E6" s="235">
        <v>24.2</v>
      </c>
      <c r="F6" s="215">
        <v>0.82</v>
      </c>
      <c r="G6" s="212">
        <f t="shared" si="0"/>
        <v>18</v>
      </c>
      <c r="I6" s="211" t="s">
        <v>2036</v>
      </c>
      <c r="J6" s="362" cm="1">
        <f t="array" ref="J6">E11</f>
        <v>19.3925093632959</v>
      </c>
    </row>
    <row r="7" ht="13.5" customHeight="1">
      <c r="A7" s="211" t="s">
        <v>2026</v>
      </c>
      <c r="B7" s="212">
        <v>5</v>
      </c>
      <c r="C7" s="212">
        <v>2</v>
      </c>
      <c r="D7" s="212">
        <v>28</v>
      </c>
      <c r="E7" s="235">
        <v>12.4</v>
      </c>
      <c r="F7" s="215">
        <v>0.92</v>
      </c>
      <c r="G7" s="212">
        <f t="shared" si="0"/>
        <v>7</v>
      </c>
      <c r="I7" s="211" t="s">
        <v>2007</v>
      </c>
      <c r="J7" s="439" cm="1">
        <f t="array" ref="J7">F11</f>
        <v>0.869625468164794</v>
      </c>
    </row>
    <row r="8" ht="13.5" customHeight="1">
      <c r="A8" s="211" t="s">
        <v>2037</v>
      </c>
      <c r="B8" s="212">
        <v>15</v>
      </c>
      <c r="C8" s="212">
        <v>8</v>
      </c>
      <c r="D8" s="212">
        <v>56</v>
      </c>
      <c r="E8" s="235">
        <v>32.6</v>
      </c>
      <c r="F8" s="215">
        <v>0.78</v>
      </c>
      <c r="G8" s="212">
        <f t="shared" si="0"/>
        <v>23</v>
      </c>
      <c r="I8" s="211" t="s">
        <v>574</v>
      </c>
      <c r="J8" s="439" cm="1">
        <f t="array" ref="J8">E15</f>
        <v>0.952380952380952</v>
      </c>
    </row>
    <row r="9" ht="13.5" customHeight="1">
      <c r="A9" s="211" t="s">
        <v>2038</v>
      </c>
      <c r="B9" s="212">
        <v>22</v>
      </c>
      <c r="C9" s="212">
        <v>10</v>
      </c>
      <c r="D9" s="212">
        <v>85</v>
      </c>
      <c r="E9" s="235">
        <v>14.8</v>
      </c>
      <c r="F9" s="215">
        <v>0.91</v>
      </c>
      <c r="G9" s="212">
        <f t="shared" si="0"/>
        <v>32</v>
      </c>
      <c r="I9" s="211" t="s">
        <v>2039</v>
      </c>
      <c r="J9" s="439" cm="1">
        <f t="array" ref="J9">C25</f>
        <v>0.0526315789473684</v>
      </c>
    </row>
    <row r="10" ht="13.5" customHeight="1">
      <c r="A10" s="211" t="s">
        <v>2040</v>
      </c>
      <c r="B10" s="212">
        <v>2</v>
      </c>
      <c r="C10" s="212">
        <v>1</v>
      </c>
      <c r="D10" s="212">
        <v>18</v>
      </c>
      <c r="E10" s="235">
        <v>2.8</v>
      </c>
      <c r="F10" s="215">
        <v>0.96</v>
      </c>
      <c r="G10" s="212">
        <f t="shared" si="0"/>
        <v>3</v>
      </c>
      <c r="I10" s="211" t="s">
        <v>2041</v>
      </c>
      <c r="J10" s="461">
        <f>D11/251</f>
        <v>1.06374501992032</v>
      </c>
    </row>
    <row r="11" ht="13.5" customHeight="1">
      <c r="A11" s="430" t="s">
        <v>1637</v>
      </c>
      <c r="B11" s="450">
        <f t="shared" si="1" ref="B11:G11">SUM(B5:B10)</f>
        <v>64</v>
      </c>
      <c r="C11" s="450">
        <f t="shared" si="1"/>
        <v>31</v>
      </c>
      <c r="D11" s="450">
        <f t="shared" si="1"/>
        <v>267</v>
      </c>
      <c r="E11" s="453">
        <f>SUMPRODUCT(D5:D10,E5:E10)/SUM(D5:D10)</f>
        <v>19.3925093632959</v>
      </c>
      <c r="F11" s="433">
        <f>SUMPRODUCT(D5:D10,F5:F10)/SUM(D5:D10)</f>
        <v>0.869625468164794</v>
      </c>
      <c r="G11" s="450">
        <f t="shared" si="1"/>
        <v>95</v>
      </c>
    </row>
    <row r="13" ht="15.75" customHeight="1">
      <c r="A13" s="222" t="s">
        <v>2042</v>
      </c>
    </row>
    <row r="14" ht="13.5" customHeight="1">
      <c r="A14" s="210" t="s">
        <v>524</v>
      </c>
      <c r="B14" s="210" t="s">
        <v>2043</v>
      </c>
      <c r="C14" s="210" t="s">
        <v>2044</v>
      </c>
      <c r="D14" s="210" t="s">
        <v>2045</v>
      </c>
      <c r="E14" s="210" t="s">
        <v>2046</v>
      </c>
      <c r="F14" s="210" t="s">
        <v>2047</v>
      </c>
      <c r="G14" s="210" t="s">
        <v>23</v>
      </c>
    </row>
    <row r="15" ht="13.5" customHeight="1">
      <c r="A15" s="211" t="s">
        <v>2048</v>
      </c>
      <c r="B15" s="213" t="s">
        <v>2049</v>
      </c>
      <c r="C15" s="212">
        <v>21</v>
      </c>
      <c r="D15" s="212">
        <v>20</v>
      </c>
      <c r="E15" s="215">
        <f t="shared" si="2" ref="E15:E18">IF(C15=0,0,D15/C15)</f>
        <v>0.952380952380952</v>
      </c>
      <c r="F15" s="235">
        <v>2.8</v>
      </c>
      <c r="G15" s="213" t="str">
        <f t="shared" si="3" ref="G15:G18">IF(E15&gt;=0.95,"✓ PASS",IF(E15&gt;=0.9,"⚠ WATCH","✗ FAIL"))</f>
        <v>✓ PASS</v>
      </c>
    </row>
    <row r="16" ht="13.5" customHeight="1">
      <c r="A16" s="211" t="s">
        <v>2050</v>
      </c>
      <c r="B16" s="213" t="s">
        <v>2051</v>
      </c>
      <c r="C16" s="212">
        <v>48</v>
      </c>
      <c r="D16" s="212">
        <v>44</v>
      </c>
      <c r="E16" s="215">
        <f t="shared" si="2"/>
        <v>0.916666666666667</v>
      </c>
      <c r="F16" s="235">
        <v>16.4</v>
      </c>
      <c r="G16" s="213" t="str">
        <f t="shared" si="3"/>
        <v>⚠ WATCH</v>
      </c>
    </row>
    <row r="17" ht="13.5" customHeight="1">
      <c r="A17" s="211" t="s">
        <v>2053</v>
      </c>
      <c r="B17" s="213" t="s">
        <v>2054</v>
      </c>
      <c r="C17" s="212">
        <v>156</v>
      </c>
      <c r="D17" s="212">
        <v>142</v>
      </c>
      <c r="E17" s="215">
        <f t="shared" si="2"/>
        <v>0.91025641025641</v>
      </c>
      <c r="F17" s="235">
        <v>38.2</v>
      </c>
      <c r="G17" s="213" t="str">
        <f t="shared" si="3"/>
        <v>⚠ WATCH</v>
      </c>
    </row>
    <row r="18" ht="13.5" customHeight="1">
      <c r="A18" s="211" t="s">
        <v>2055</v>
      </c>
      <c r="B18" s="213" t="s">
        <v>2056</v>
      </c>
      <c r="C18" s="212">
        <v>42</v>
      </c>
      <c r="D18" s="212">
        <v>41</v>
      </c>
      <c r="E18" s="215">
        <f t="shared" si="2"/>
        <v>0.976190476190476</v>
      </c>
      <c r="F18" s="235">
        <v>4.2</v>
      </c>
      <c r="G18" s="213" t="str">
        <f t="shared" si="3"/>
        <v>✓ PASS</v>
      </c>
    </row>
    <row r="20" ht="15.75" customHeight="1">
      <c r="A20" s="222" t="s">
        <v>2057</v>
      </c>
      <c r="F20" s="359" t="s">
        <v>2058</v>
      </c>
      <c r="G20" s="399" cm="1">
        <f t="array" ref="G20">G11</f>
        <v>95</v>
      </c>
    </row>
    <row r="21" ht="13.5" customHeight="1">
      <c r="A21" s="210" t="s">
        <v>2059</v>
      </c>
      <c r="B21" s="210" t="s">
        <v>2060</v>
      </c>
      <c r="C21" s="210" t="s">
        <v>2061</v>
      </c>
      <c r="D21" s="210" t="s">
        <v>2062</v>
      </c>
      <c r="E21" s="210" t="s">
        <v>657</v>
      </c>
    </row>
    <row r="22" ht="13.5" customHeight="1">
      <c r="A22" s="211" t="s">
        <v>2063</v>
      </c>
      <c r="B22" s="212">
        <v>52</v>
      </c>
      <c r="C22" s="215">
        <f t="shared" si="4" ref="C22:C25">IF($G$20=0,0,B22/$G$20)</f>
        <v>0.547368421052632</v>
      </c>
      <c r="D22" s="242" t="s">
        <v>639</v>
      </c>
      <c r="E22" s="213" t="s">
        <v>2064</v>
      </c>
    </row>
    <row r="23" ht="13.5" customHeight="1">
      <c r="A23" s="211" t="s">
        <v>2065</v>
      </c>
      <c r="B23" s="212">
        <v>24</v>
      </c>
      <c r="C23" s="215">
        <f t="shared" si="4"/>
        <v>0.252631578947368</v>
      </c>
      <c r="D23" s="462" t="s">
        <v>635</v>
      </c>
      <c r="E23" s="213" t="s">
        <v>1049</v>
      </c>
    </row>
    <row r="24" ht="13.5" customHeight="1">
      <c r="A24" s="211" t="s">
        <v>2066</v>
      </c>
      <c r="B24" s="212">
        <v>14</v>
      </c>
      <c r="C24" s="215">
        <f t="shared" si="4"/>
        <v>0.147368421052632</v>
      </c>
      <c r="D24" s="243" t="s">
        <v>645</v>
      </c>
      <c r="E24" s="213" t="s">
        <v>2067</v>
      </c>
    </row>
    <row r="25" ht="13.5" customHeight="1">
      <c r="A25" s="211" t="s">
        <v>2068</v>
      </c>
      <c r="B25" s="212">
        <v>5</v>
      </c>
      <c r="C25" s="215">
        <f t="shared" si="4"/>
        <v>0.0526315789473684</v>
      </c>
      <c r="D25" s="463" t="s">
        <v>650</v>
      </c>
      <c r="E25" s="213" t="s">
        <v>1122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3E79968-2B18-7578-1D25-BBAA2DDCA598}" mc:Ignorable="x14ac xr xr2 xr3">
  <dimension ref="A1:GR50000"/>
  <sheetViews>
    <sheetView showGridLines="0" topLeftCell="A1" workbookViewId="0">
      <selection activeCell="A1" sqref="A1"/>
    </sheetView>
  </sheetViews>
  <sheetFormatPr defaultRowHeight="15" defaultColWidth="7.75390625" customHeight="1"/>
  <cols>
    <col min="1" max="1" width="17.50390625" customWidth="1"/>
  </cols>
  <sheetData>
    <row r="1" ht="19.5" customHeight="1">
      <c r="A1" s="340" t="s">
        <v>2069</v>
      </c>
      <c r="B1" s="340"/>
      <c r="C1" s="340"/>
      <c r="D1" s="340"/>
      <c r="E1" s="340"/>
      <c r="F1" s="340"/>
      <c r="G1" s="340"/>
      <c r="H1" s="340"/>
      <c r="I1" s="340"/>
      <c r="J1" s="340"/>
    </row>
    <row r="3" ht="16.5" customHeight="1">
      <c r="A3" s="222" t="s">
        <v>2069</v>
      </c>
      <c r="B3" s="222"/>
      <c r="C3" s="222"/>
      <c r="D3" s="222"/>
      <c r="E3" s="222"/>
      <c r="F3" s="222"/>
      <c r="G3" s="222"/>
      <c r="H3" s="225" t="s">
        <v>2070</v>
      </c>
      <c r="I3" s="222"/>
      <c r="J3" s="222"/>
    </row>
    <row r="4" ht="19.5" customHeight="1">
      <c r="A4" s="210" t="s">
        <v>92</v>
      </c>
      <c r="B4" s="210" t="s">
        <v>2071</v>
      </c>
      <c r="C4" s="210" t="s">
        <v>2072</v>
      </c>
      <c r="D4" s="210" t="s">
        <v>2073</v>
      </c>
      <c r="E4" s="210" t="s">
        <v>2074</v>
      </c>
      <c r="F4" s="210" t="s">
        <v>1166</v>
      </c>
      <c r="G4" s="398"/>
      <c r="H4" s="211" t="s">
        <v>243</v>
      </c>
      <c r="I4" s="464" cm="1">
        <f t="array" ref="I4">F5</f>
        <v>0.478991596638655</v>
      </c>
    </row>
    <row r="5" ht="19.5" customHeight="1">
      <c r="A5" s="211" t="s">
        <v>2075</v>
      </c>
      <c r="B5" s="212">
        <v>142</v>
      </c>
      <c r="C5" s="212">
        <v>68</v>
      </c>
      <c r="D5" s="212">
        <v>28</v>
      </c>
      <c r="E5" s="212">
        <f t="shared" si="0" ref="E5:E10">B5+C5+D5</f>
        <v>238</v>
      </c>
      <c r="F5" s="465">
        <f t="shared" si="1" ref="F5:F10">IF(E5=0,0,(B5-D5)/E5)</f>
        <v>0.478991596638655</v>
      </c>
      <c r="H5" s="211" t="s">
        <v>2076</v>
      </c>
      <c r="I5" s="238" cm="1">
        <f t="array" ref="I5">E5</f>
        <v>238</v>
      </c>
    </row>
    <row r="6" ht="19.5" customHeight="1">
      <c r="A6" s="211" t="s">
        <v>2077</v>
      </c>
      <c r="B6" s="212">
        <v>125</v>
      </c>
      <c r="C6" s="212">
        <v>78</v>
      </c>
      <c r="D6" s="212">
        <v>35</v>
      </c>
      <c r="E6" s="212">
        <f t="shared" si="0"/>
        <v>238</v>
      </c>
      <c r="F6" s="465">
        <f t="shared" si="1"/>
        <v>0.378151260504202</v>
      </c>
      <c r="H6" s="211" t="s">
        <v>2078</v>
      </c>
      <c r="I6" s="226">
        <v>0.42</v>
      </c>
    </row>
    <row r="7" ht="19.5" customHeight="1">
      <c r="A7" s="211" t="s">
        <v>538</v>
      </c>
      <c r="B7" s="212">
        <v>156</v>
      </c>
      <c r="C7" s="212">
        <v>52</v>
      </c>
      <c r="D7" s="212">
        <v>30</v>
      </c>
      <c r="E7" s="212">
        <f t="shared" si="0"/>
        <v>238</v>
      </c>
      <c r="F7" s="465">
        <f t="shared" si="1"/>
        <v>0.529411764705882</v>
      </c>
      <c r="H7" s="211" t="s">
        <v>2079</v>
      </c>
      <c r="I7" s="226">
        <f>IF(E5=0,0,B5/E5)</f>
        <v>0.596638655462185</v>
      </c>
    </row>
    <row r="8" ht="19.5" customHeight="1">
      <c r="A8" s="211" t="s">
        <v>2080</v>
      </c>
      <c r="B8" s="212">
        <v>118</v>
      </c>
      <c r="C8" s="212">
        <v>82</v>
      </c>
      <c r="D8" s="212">
        <v>38</v>
      </c>
      <c r="E8" s="212">
        <f t="shared" si="0"/>
        <v>238</v>
      </c>
      <c r="F8" s="465">
        <f t="shared" si="1"/>
        <v>0.336134453781513</v>
      </c>
      <c r="H8" s="211" t="s">
        <v>2081</v>
      </c>
      <c r="I8" s="226">
        <f>IF(E5=0,0,D5/E5)</f>
        <v>0.117647058823529</v>
      </c>
    </row>
    <row r="9" ht="19.5" customHeight="1">
      <c r="A9" s="211" t="s">
        <v>2082</v>
      </c>
      <c r="B9" s="212">
        <v>148</v>
      </c>
      <c r="C9" s="212">
        <v>62</v>
      </c>
      <c r="D9" s="212">
        <v>28</v>
      </c>
      <c r="E9" s="212">
        <f t="shared" si="0"/>
        <v>238</v>
      </c>
      <c r="F9" s="465">
        <f t="shared" si="1"/>
        <v>0.504201680672269</v>
      </c>
      <c r="H9" s="211" t="s">
        <v>1981</v>
      </c>
      <c r="I9" s="466">
        <v>8</v>
      </c>
    </row>
    <row r="10" ht="13.5" customHeight="1">
      <c r="A10" s="211" t="s">
        <v>2083</v>
      </c>
      <c r="B10" s="212">
        <v>132</v>
      </c>
      <c r="C10" s="212">
        <v>72</v>
      </c>
      <c r="D10" s="212">
        <v>34</v>
      </c>
      <c r="E10" s="212">
        <f t="shared" si="0"/>
        <v>238</v>
      </c>
      <c r="F10" s="465">
        <f t="shared" si="1"/>
        <v>0.411764705882353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02C0D98-1E58-C1F8-88A8-645E0B9F7092}" mc:Ignorable="x14ac xr xr2 xr3">
  <dimension ref="A1:GR50000"/>
  <sheetViews>
    <sheetView showGridLines="0" topLeftCell="A1" workbookViewId="0">
      <selection activeCell="A1" sqref="A1"/>
    </sheetView>
  </sheetViews>
  <sheetFormatPr defaultRowHeight="15" defaultColWidth="7.75390625" customHeight="1"/>
  <cols>
    <col min="1" max="1" width="17.50390625" customWidth="1"/>
  </cols>
  <sheetData>
    <row r="1" ht="19.5" customHeight="1">
      <c r="A1" s="340" t="s">
        <v>2084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</row>
    <row r="3" ht="15.75" customHeight="1">
      <c r="A3" s="222" t="s">
        <v>2085</v>
      </c>
      <c r="B3" s="222"/>
      <c r="C3" s="222"/>
      <c r="D3" s="222"/>
      <c r="E3" s="222"/>
      <c r="F3" s="222"/>
      <c r="G3" s="222"/>
      <c r="H3" s="222"/>
      <c r="I3" s="222"/>
      <c r="J3" s="222"/>
      <c r="K3" s="222"/>
      <c r="L3" s="222"/>
    </row>
    <row r="4" ht="13.5" customHeight="1">
      <c r="A4" s="210" t="s">
        <v>66</v>
      </c>
      <c r="B4" s="210" t="s">
        <v>2086</v>
      </c>
      <c r="C4" s="210" t="s">
        <v>2087</v>
      </c>
      <c r="D4" s="210" t="s">
        <v>2088</v>
      </c>
      <c r="E4" s="210" t="s">
        <v>2089</v>
      </c>
      <c r="F4" s="210" t="s">
        <v>2090</v>
      </c>
      <c r="G4" s="398"/>
    </row>
    <row r="5" ht="15" customHeight="1">
      <c r="A5" s="211" t="s">
        <v>553</v>
      </c>
      <c r="B5" s="215">
        <v>0.22</v>
      </c>
      <c r="C5" s="215">
        <v>0.18</v>
      </c>
      <c r="D5" s="215">
        <v>0.2</v>
      </c>
      <c r="E5" s="227">
        <v>425000</v>
      </c>
      <c r="F5" s="217">
        <f>IF(MKT_16_Marketing_CPA!B10=0,0,E5/MKT_16_Marketing_CPA!B10)</f>
        <v>50</v>
      </c>
    </row>
    <row r="6" ht="15" customHeight="1">
      <c r="A6" s="211" t="s">
        <v>1591</v>
      </c>
      <c r="B6" s="215">
        <v>0.18</v>
      </c>
      <c r="C6" s="215">
        <v>0.15</v>
      </c>
      <c r="D6" s="215">
        <v>0.16</v>
      </c>
      <c r="E6" s="227">
        <v>320000</v>
      </c>
      <c r="F6" s="217">
        <f>IF(MKT_16_Marketing_CPA!B11=0,0,E6/MKT_16_Marketing_CPA!B11)</f>
        <v>51.6129032258064</v>
      </c>
    </row>
    <row r="7" ht="15" customHeight="1">
      <c r="A7" s="211" t="s">
        <v>1592</v>
      </c>
      <c r="B7" s="215">
        <v>0.15</v>
      </c>
      <c r="C7" s="215">
        <v>0.12</v>
      </c>
      <c r="D7" s="215">
        <v>0.14</v>
      </c>
      <c r="E7" s="227">
        <v>285000</v>
      </c>
      <c r="F7" s="217">
        <f>IF(MKT_16_Marketing_CPA!B12=0,0,E7/MKT_16_Marketing_CPA!B12)</f>
        <v>59.375</v>
      </c>
    </row>
    <row r="8" ht="15" customHeight="1">
      <c r="A8" s="211" t="s">
        <v>1593</v>
      </c>
      <c r="B8" s="215">
        <v>0.12</v>
      </c>
      <c r="C8" s="215">
        <v>0.08</v>
      </c>
      <c r="D8" s="215">
        <v>0.1</v>
      </c>
      <c r="E8" s="227">
        <v>195000</v>
      </c>
      <c r="F8" s="217">
        <f>IF(MKT_16_Marketing_CPA!B13=0,0,E8/MKT_16_Marketing_CPA!B13)</f>
        <v>60.9375</v>
      </c>
    </row>
    <row r="9" ht="15" customHeight="1">
      <c r="A9" s="211" t="s">
        <v>550</v>
      </c>
      <c r="B9" s="215">
        <v>0.25</v>
      </c>
      <c r="C9" s="215">
        <v>0.35</v>
      </c>
      <c r="D9" s="215">
        <v>0.3</v>
      </c>
      <c r="E9" s="227">
        <v>625000</v>
      </c>
      <c r="F9" s="217">
        <f>IF(MKT_16_Marketing_CPA!B14=0,0,E9/MKT_16_Marketing_CPA!B14)</f>
        <v>0</v>
      </c>
    </row>
    <row r="10" ht="15" customHeight="1">
      <c r="A10" s="211" t="s">
        <v>76</v>
      </c>
      <c r="B10" s="215">
        <v>0.06</v>
      </c>
      <c r="C10" s="215">
        <v>0.1</v>
      </c>
      <c r="D10" s="215">
        <v>0.08</v>
      </c>
      <c r="E10" s="227">
        <v>165000</v>
      </c>
      <c r="F10" s="217">
        <f>IF(MKT_16_Marketing_CPA!B15=0,0,E10/MKT_16_Marketing_CPA!B15)</f>
        <v>330</v>
      </c>
    </row>
    <row r="11" ht="15" customHeight="1">
      <c r="A11" s="211" t="s">
        <v>1594</v>
      </c>
      <c r="B11" s="215">
        <v>0.02</v>
      </c>
      <c r="C11" s="215">
        <v>0.02</v>
      </c>
      <c r="D11" s="215">
        <v>0.02</v>
      </c>
      <c r="E11" s="227">
        <v>45000</v>
      </c>
      <c r="F11" s="217">
        <f>IF(MKT_16_Marketing_CPA!B16=0,0,E11/MKT_16_Marketing_CPA!B16)</f>
        <v>56.25</v>
      </c>
    </row>
    <row r="12" ht="15" customHeight="1">
      <c r="A12" s="434" t="s">
        <v>1637</v>
      </c>
      <c r="B12" s="436">
        <f t="shared" si="0" ref="B12:E12">SUM(B5:B11)</f>
        <v>1</v>
      </c>
      <c r="C12" s="436">
        <f t="shared" si="0"/>
        <v>1</v>
      </c>
      <c r="D12" s="436">
        <f t="shared" si="0"/>
        <v>1</v>
      </c>
      <c r="E12" s="435">
        <f t="shared" si="0"/>
        <v>2060000</v>
      </c>
      <c r="F12" s="467">
        <f>IF(MKT_16_Marketing_CPA!B6=0,0,E12/MKT_16_Marketing_CPA!B6)</f>
        <v>85.8333333333333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BB895D6-C198-2917-1908-0ADF625120C6}" mc:Ignorable="x14ac xr xr2 xr3">
  <dimension ref="A1:GR50000"/>
  <sheetViews>
    <sheetView showGridLines="0" topLeftCell="A1" workbookViewId="0">
      <selection activeCell="A1" sqref="A1"/>
    </sheetView>
  </sheetViews>
  <sheetFormatPr defaultRowHeight="15" defaultColWidth="7.75390625" customHeight="1"/>
  <cols>
    <col min="1" max="1" width="17.50390625" customWidth="1"/>
  </cols>
  <sheetData>
    <row r="1" ht="19.5" customHeight="1">
      <c r="A1" s="340" t="s">
        <v>2091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</row>
    <row r="3" ht="15.75" customHeight="1">
      <c r="A3" s="222" t="s">
        <v>2092</v>
      </c>
      <c r="B3" s="222"/>
      <c r="C3" s="222"/>
      <c r="D3" s="222"/>
      <c r="E3" s="222"/>
      <c r="F3" s="222"/>
      <c r="G3" s="222"/>
      <c r="H3" s="222"/>
      <c r="I3" s="222"/>
      <c r="J3" s="222"/>
      <c r="K3" s="222"/>
      <c r="L3" s="222"/>
    </row>
    <row r="4" ht="13.5" customHeight="1">
      <c r="A4" s="210" t="s">
        <v>1881</v>
      </c>
      <c r="B4" s="210" t="s">
        <v>975</v>
      </c>
      <c r="C4" s="210" t="s">
        <v>1998</v>
      </c>
      <c r="D4" s="210" t="s">
        <v>2093</v>
      </c>
      <c r="E4" s="210" t="s">
        <v>2094</v>
      </c>
      <c r="F4" s="210" t="s">
        <v>2095</v>
      </c>
      <c r="G4" s="210" t="s">
        <v>2096</v>
      </c>
      <c r="H4" s="210" t="s">
        <v>2097</v>
      </c>
      <c r="I4" s="398"/>
      <c r="J4" s="398"/>
    </row>
    <row r="5" ht="15" customHeight="1">
      <c r="A5" s="211" t="s">
        <v>2098</v>
      </c>
      <c r="B5" s="212">
        <v>180</v>
      </c>
      <c r="C5" s="227">
        <v>48500000</v>
      </c>
      <c r="D5" s="227">
        <v>3250000</v>
      </c>
      <c r="E5" s="468">
        <v>0.055</v>
      </c>
      <c r="F5" s="227">
        <f t="shared" si="0" ref="F5:F7">IF(E5=0,0,D5/E5)</f>
        <v>59090909.0909091</v>
      </c>
      <c r="G5" s="227">
        <v>18500000</v>
      </c>
      <c r="H5" s="215">
        <f t="shared" si="1" ref="H5:H8">IF(G5=0,0,(F5-C5)/G5)</f>
        <v>0.572481572481573</v>
      </c>
    </row>
    <row r="6" ht="15" customHeight="1">
      <c r="A6" s="211" t="s">
        <v>2099</v>
      </c>
      <c r="B6" s="212">
        <v>225</v>
      </c>
      <c r="C6" s="227">
        <v>72000000</v>
      </c>
      <c r="D6" s="227">
        <v>4800000</v>
      </c>
      <c r="E6" s="468">
        <v>0.0525</v>
      </c>
      <c r="F6" s="227">
        <f t="shared" si="0"/>
        <v>91428571.4285714</v>
      </c>
      <c r="G6" s="227">
        <v>28000000</v>
      </c>
      <c r="H6" s="215">
        <f t="shared" si="1"/>
        <v>0.693877551020407</v>
      </c>
    </row>
    <row r="7" ht="15" customHeight="1">
      <c r="A7" s="211" t="s">
        <v>2100</v>
      </c>
      <c r="B7" s="212">
        <v>145</v>
      </c>
      <c r="C7" s="227">
        <v>38500000</v>
      </c>
      <c r="D7" s="227">
        <v>2650000</v>
      </c>
      <c r="E7" s="468">
        <v>0.058</v>
      </c>
      <c r="F7" s="227">
        <f t="shared" si="0"/>
        <v>45689655.1724138</v>
      </c>
      <c r="G7" s="227">
        <v>14500000</v>
      </c>
      <c r="H7" s="215">
        <f t="shared" si="1"/>
        <v>0.495838287752676</v>
      </c>
    </row>
    <row r="8" ht="15" customHeight="1">
      <c r="A8" s="434" t="s">
        <v>1954</v>
      </c>
      <c r="B8" s="441">
        <f t="shared" si="2" ref="B8:G8">SUM(B5:B7)</f>
        <v>550</v>
      </c>
      <c r="C8" s="435">
        <f t="shared" si="2"/>
        <v>159000000</v>
      </c>
      <c r="D8" s="435">
        <f t="shared" si="2"/>
        <v>10700000</v>
      </c>
      <c r="E8" s="469">
        <f>IF(F8=0,0,D8/F8)</f>
        <v>0.0545336483047463</v>
      </c>
      <c r="F8" s="435">
        <f t="shared" si="2"/>
        <v>196209135.691894</v>
      </c>
      <c r="G8" s="435">
        <f t="shared" si="2"/>
        <v>61000000</v>
      </c>
      <c r="H8" s="436">
        <f t="shared" si="1"/>
        <v>0.609985831014656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E8E4FA2-88E8-88F8-6638-01241768A388}" mc:Ignorable="x14ac xr xr2 xr3">
  <dimension ref="A1:GR50000"/>
  <sheetViews>
    <sheetView showGridLines="0" topLeftCell="A1" workbookViewId="0">
      <selection activeCell="A1" sqref="A1"/>
    </sheetView>
  </sheetViews>
  <sheetFormatPr defaultRowHeight="15" defaultColWidth="7.75390625" customHeight="1"/>
  <cols>
    <col min="1" max="1" width="17.50390625" customWidth="1"/>
  </cols>
  <sheetData>
    <row r="1" ht="19.5" customHeight="1">
      <c r="A1" s="340" t="s">
        <v>2101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54" t="str">
        <f>HYPERLINK("#Alert_Dashboard!B2","← Back to Alerts")</f>
        <v>← Back to Alerts</v>
      </c>
    </row>
    <row r="3" ht="15.75" customHeight="1">
      <c r="A3" s="222" t="s">
        <v>2102</v>
      </c>
      <c r="B3" s="222"/>
      <c r="C3" s="222"/>
      <c r="D3" s="222"/>
      <c r="E3" s="222"/>
      <c r="F3" s="222"/>
      <c r="G3" s="222"/>
      <c r="H3" s="222"/>
      <c r="I3" s="222"/>
      <c r="J3" s="222"/>
      <c r="K3" s="222"/>
      <c r="L3" s="222"/>
    </row>
    <row r="4" ht="13.5" customHeight="1">
      <c r="A4" s="210" t="s">
        <v>92</v>
      </c>
      <c r="B4" s="210" t="s">
        <v>379</v>
      </c>
      <c r="C4" s="210" t="s">
        <v>2103</v>
      </c>
      <c r="D4" s="210" t="s">
        <v>1882</v>
      </c>
      <c r="E4" s="210" t="s">
        <v>1885</v>
      </c>
      <c r="F4" s="210" t="s">
        <v>1886</v>
      </c>
      <c r="G4" s="210" t="s">
        <v>22</v>
      </c>
      <c r="H4" s="398"/>
    </row>
    <row r="5" ht="13.5" customHeight="1">
      <c r="A5" s="211" t="s">
        <v>2104</v>
      </c>
      <c r="B5" s="227">
        <v>28500000</v>
      </c>
      <c r="C5" s="227">
        <v>28500000</v>
      </c>
      <c r="D5" s="227">
        <v>0</v>
      </c>
      <c r="E5" s="227">
        <f t="shared" si="0" ref="E5:E9">MAX(0,B5-C5-D5)</f>
        <v>0</v>
      </c>
      <c r="F5" s="227">
        <f t="shared" si="1" ref="F5:F9">C5+D5+E5</f>
        <v>28500000</v>
      </c>
      <c r="G5" s="228">
        <f t="shared" si="2" ref="G5:G9">B5-F5</f>
        <v>0</v>
      </c>
    </row>
    <row r="6" ht="13.5" customHeight="1">
      <c r="A6" s="211" t="s">
        <v>2105</v>
      </c>
      <c r="B6" s="227">
        <v>95000000</v>
      </c>
      <c r="C6" s="227">
        <v>62000000</v>
      </c>
      <c r="D6" s="227">
        <v>18500000</v>
      </c>
      <c r="E6" s="227">
        <f t="shared" si="0"/>
        <v>14500000</v>
      </c>
      <c r="F6" s="227">
        <f t="shared" si="1"/>
        <v>95000000</v>
      </c>
      <c r="G6" s="228">
        <f t="shared" si="2"/>
        <v>0</v>
      </c>
    </row>
    <row r="7" ht="13.5" customHeight="1">
      <c r="A7" s="211" t="s">
        <v>2106</v>
      </c>
      <c r="B7" s="227">
        <v>18500000</v>
      </c>
      <c r="C7" s="227">
        <v>12200000</v>
      </c>
      <c r="D7" s="227">
        <v>3800000</v>
      </c>
      <c r="E7" s="227">
        <f t="shared" si="0"/>
        <v>2500000</v>
      </c>
      <c r="F7" s="227">
        <f t="shared" si="1"/>
        <v>18500000</v>
      </c>
      <c r="G7" s="228">
        <f t="shared" si="2"/>
        <v>0</v>
      </c>
    </row>
    <row r="8" ht="13.5" customHeight="1">
      <c r="A8" s="211" t="s">
        <v>2107</v>
      </c>
      <c r="B8" s="227">
        <v>8500000</v>
      </c>
      <c r="C8" s="227">
        <v>5200000</v>
      </c>
      <c r="D8" s="227">
        <v>1800000</v>
      </c>
      <c r="E8" s="227">
        <f t="shared" si="0"/>
        <v>1500000</v>
      </c>
      <c r="F8" s="227">
        <f t="shared" si="1"/>
        <v>8500000</v>
      </c>
      <c r="G8" s="228">
        <f t="shared" si="2"/>
        <v>0</v>
      </c>
    </row>
    <row r="9" ht="13.5" customHeight="1">
      <c r="A9" s="211" t="s">
        <v>1902</v>
      </c>
      <c r="B9" s="227">
        <v>8500000</v>
      </c>
      <c r="C9" s="227">
        <v>1200000</v>
      </c>
      <c r="D9" s="227">
        <v>0</v>
      </c>
      <c r="E9" s="227">
        <f t="shared" si="0"/>
        <v>7300000</v>
      </c>
      <c r="F9" s="227">
        <f t="shared" si="1"/>
        <v>8500000</v>
      </c>
      <c r="G9" s="228">
        <f t="shared" si="2"/>
        <v>0</v>
      </c>
    </row>
    <row r="10" ht="13.5" customHeight="1">
      <c r="A10" s="434" t="s">
        <v>1637</v>
      </c>
      <c r="B10" s="435">
        <f t="shared" si="3" ref="B10:G10">SUM(B5:B9)</f>
        <v>159000000</v>
      </c>
      <c r="C10" s="435">
        <f t="shared" si="3"/>
        <v>109100000</v>
      </c>
      <c r="D10" s="435">
        <f t="shared" si="3"/>
        <v>24100000</v>
      </c>
      <c r="E10" s="435">
        <f t="shared" si="3"/>
        <v>25800000</v>
      </c>
      <c r="F10" s="435">
        <f t="shared" si="3"/>
        <v>159000000</v>
      </c>
      <c r="G10" s="459">
        <f t="shared" si="3"/>
        <v>0</v>
      </c>
    </row>
  </sheetData>
  <hyperlinks>
    <hyperlink ref="L1" r:id="rId1" display="← Back to Alerts"/>
  </hyperlink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C7249E8-3BDF-96B8-AF55-BEED11B3B672}" mc:Ignorable="x14ac xr xr2 xr3">
  <dimension ref="A1:GR50000"/>
  <sheetViews>
    <sheetView showGridLines="0" topLeftCell="A1" workbookViewId="0">
      <selection activeCell="A1" sqref="A1"/>
    </sheetView>
  </sheetViews>
  <sheetFormatPr defaultRowHeight="15" defaultColWidth="7.75390625" customHeight="1"/>
  <cols>
    <col min="1" max="1" width="8.75390625" customWidth="1"/>
    <col min="3" max="3" width="25.00390625" customWidth="1"/>
    <col min="7" max="7" width="25.00390625" customWidth="1"/>
  </cols>
  <sheetData>
    <row r="1" ht="19.5" customHeight="1">
      <c r="A1" s="340" t="s">
        <v>2108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</row>
    <row r="3" ht="15.75" customHeight="1">
      <c r="A3" s="222" t="s">
        <v>2109</v>
      </c>
      <c r="B3" s="222"/>
      <c r="C3" s="222"/>
      <c r="D3" s="222"/>
      <c r="E3" s="222"/>
      <c r="F3" s="222"/>
      <c r="G3" s="222"/>
      <c r="H3" s="222"/>
      <c r="I3" s="222"/>
      <c r="J3" s="222"/>
      <c r="K3" s="222"/>
      <c r="L3" s="222"/>
    </row>
    <row r="4" ht="13.5" customHeight="1">
      <c r="A4" s="210" t="s">
        <v>1881</v>
      </c>
      <c r="B4" s="210" t="s">
        <v>2110</v>
      </c>
      <c r="C4" s="210" t="s">
        <v>23</v>
      </c>
      <c r="D4" s="210" t="s">
        <v>2111</v>
      </c>
      <c r="E4" s="210" t="s">
        <v>2112</v>
      </c>
      <c r="F4" s="210" t="s">
        <v>2113</v>
      </c>
      <c r="G4" s="210" t="s">
        <v>2114</v>
      </c>
      <c r="H4" s="210" t="s">
        <v>2115</v>
      </c>
      <c r="I4" s="398"/>
    </row>
    <row r="5" ht="13.5" customHeight="1">
      <c r="A5" s="211" t="s">
        <v>2116</v>
      </c>
      <c r="B5" s="213" t="s">
        <v>2117</v>
      </c>
      <c r="C5" s="213" t="s">
        <v>2118</v>
      </c>
      <c r="D5" s="213" t="s">
        <v>2119</v>
      </c>
      <c r="E5" s="213" t="s">
        <v>2120</v>
      </c>
      <c r="F5" s="212">
        <v>0</v>
      </c>
      <c r="G5" s="242" t="s">
        <v>639</v>
      </c>
      <c r="H5" s="213" t="s">
        <v>502</v>
      </c>
    </row>
    <row r="6" ht="13.5" customHeight="1">
      <c r="A6" s="211" t="s">
        <v>2116</v>
      </c>
      <c r="B6" s="213" t="s">
        <v>2121</v>
      </c>
      <c r="C6" s="213" t="s">
        <v>2122</v>
      </c>
      <c r="D6" s="213" t="s">
        <v>2123</v>
      </c>
      <c r="E6" s="213" t="s">
        <v>2124</v>
      </c>
      <c r="F6" s="212">
        <v>63</v>
      </c>
      <c r="G6" s="462" t="s">
        <v>2125</v>
      </c>
      <c r="H6" s="213" t="s">
        <v>2126</v>
      </c>
    </row>
    <row r="7" ht="13.5" customHeight="1">
      <c r="A7" s="211" t="s">
        <v>2127</v>
      </c>
      <c r="B7" s="213" t="s">
        <v>2128</v>
      </c>
      <c r="C7" s="213" t="s">
        <v>2129</v>
      </c>
      <c r="D7" s="213" t="s">
        <v>2130</v>
      </c>
      <c r="E7" s="213" t="s">
        <v>2131</v>
      </c>
      <c r="F7" s="212">
        <v>48</v>
      </c>
      <c r="G7" s="243" t="s">
        <v>645</v>
      </c>
      <c r="H7" s="213" t="s">
        <v>2132</v>
      </c>
    </row>
    <row r="8" ht="13.5" customHeight="1">
      <c r="A8" s="211" t="s">
        <v>2127</v>
      </c>
      <c r="B8" s="213" t="s">
        <v>2117</v>
      </c>
      <c r="C8" s="213" t="s">
        <v>366</v>
      </c>
      <c r="D8" s="213" t="s">
        <v>353</v>
      </c>
      <c r="E8" s="213" t="s">
        <v>2133</v>
      </c>
      <c r="F8" s="212">
        <v>109</v>
      </c>
      <c r="G8" s="462" t="s">
        <v>2125</v>
      </c>
      <c r="H8" s="213" t="s">
        <v>2134</v>
      </c>
    </row>
    <row r="9" ht="13.5" customHeight="1">
      <c r="A9" s="211" t="s">
        <v>2135</v>
      </c>
      <c r="B9" s="213" t="s">
        <v>2117</v>
      </c>
      <c r="C9" s="213" t="s">
        <v>2118</v>
      </c>
      <c r="D9" s="213" t="s">
        <v>2136</v>
      </c>
      <c r="E9" s="213" t="s">
        <v>2137</v>
      </c>
      <c r="F9" s="212">
        <v>0</v>
      </c>
      <c r="G9" s="242" t="s">
        <v>639</v>
      </c>
      <c r="H9" s="213" t="s">
        <v>502</v>
      </c>
    </row>
    <row r="10" ht="13.5" customHeight="1">
      <c r="A10" s="211" t="s">
        <v>2135</v>
      </c>
      <c r="B10" s="213" t="s">
        <v>2121</v>
      </c>
      <c r="C10" s="213" t="s">
        <v>2118</v>
      </c>
      <c r="D10" s="213" t="s">
        <v>2138</v>
      </c>
      <c r="E10" s="213" t="s">
        <v>636</v>
      </c>
      <c r="F10" s="212">
        <v>0</v>
      </c>
      <c r="G10" s="242" t="s">
        <v>639</v>
      </c>
      <c r="H10" s="213" t="s">
        <v>502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DA557F8-DC18-F9A7-7E18-1987C06DC9D8}" mc:Ignorable="x14ac xr xr2 xr3">
  <dimension ref="A1:GR50000"/>
  <sheetViews>
    <sheetView showGridLines="0" topLeftCell="A1" workbookViewId="0">
      <selection activeCell="A1" sqref="A1"/>
    </sheetView>
  </sheetViews>
  <sheetFormatPr defaultRowHeight="15" defaultColWidth="7.75390625" customHeight="1"/>
  <cols>
    <col min="1" max="1" width="20.00390625" customWidth="1"/>
  </cols>
  <sheetData>
    <row r="1" ht="19.5" customHeight="1">
      <c r="A1" s="224" t="s">
        <v>2139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</row>
    <row r="3" ht="15.75" customHeight="1">
      <c r="A3" s="222" t="s">
        <v>2140</v>
      </c>
      <c r="B3" s="222"/>
      <c r="C3" s="222"/>
      <c r="D3" s="222"/>
      <c r="E3" s="222"/>
      <c r="F3" s="222"/>
      <c r="G3" s="222"/>
      <c r="H3" s="222"/>
      <c r="I3" s="222"/>
      <c r="J3" s="222"/>
      <c r="K3" s="222"/>
      <c r="L3" s="222"/>
    </row>
    <row r="4" ht="15" customHeight="1">
      <c r="A4" s="210" t="s">
        <v>19</v>
      </c>
      <c r="B4" s="210" t="s">
        <v>1642</v>
      </c>
      <c r="C4" s="210" t="s">
        <v>1643</v>
      </c>
      <c r="D4" s="210" t="s">
        <v>2141</v>
      </c>
      <c r="E4" s="210" t="s">
        <v>1645</v>
      </c>
      <c r="F4" s="210" t="s">
        <v>2142</v>
      </c>
    </row>
    <row r="5" ht="15" customHeight="1">
      <c r="A5" s="211" t="s">
        <v>6</v>
      </c>
      <c r="B5" s="227">
        <v>13350000</v>
      </c>
      <c r="C5" s="227">
        <v>13100000</v>
      </c>
      <c r="D5" s="216">
        <f t="shared" si="0" ref="D5:D12">IF(C5=0,0,(B5-C5)/C5)</f>
        <v>0.0190839694656489</v>
      </c>
      <c r="E5" s="227">
        <v>12800000</v>
      </c>
      <c r="F5" s="216">
        <f t="shared" si="1" ref="F5:F12">IF(E5=0,0,(B5-E5)/E5)</f>
        <v>0.04296875</v>
      </c>
    </row>
    <row r="6" ht="15" customHeight="1">
      <c r="A6" s="211" t="s">
        <v>7</v>
      </c>
      <c r="B6" s="227">
        <v>8200000</v>
      </c>
      <c r="C6" s="227">
        <v>8050000</v>
      </c>
      <c r="D6" s="216">
        <f t="shared" si="0"/>
        <v>0.0186335403726708</v>
      </c>
      <c r="E6" s="227">
        <v>7850000</v>
      </c>
      <c r="F6" s="216">
        <f t="shared" si="1"/>
        <v>0.0445859872611465</v>
      </c>
    </row>
    <row r="7" ht="15" customHeight="1">
      <c r="A7" s="211" t="s">
        <v>8</v>
      </c>
      <c r="B7" s="215">
        <v>0.614</v>
      </c>
      <c r="C7" s="215">
        <v>0.615</v>
      </c>
      <c r="D7" s="216">
        <f t="shared" si="0"/>
        <v>-0.0016260162601626</v>
      </c>
      <c r="E7" s="215">
        <v>0.613</v>
      </c>
      <c r="F7" s="216">
        <f t="shared" si="1"/>
        <v>0.00163132137030995</v>
      </c>
    </row>
    <row r="8" ht="15" customHeight="1">
      <c r="A8" s="211" t="s">
        <v>42</v>
      </c>
      <c r="B8" s="215">
        <v>0.952</v>
      </c>
      <c r="C8" s="215">
        <v>0.948</v>
      </c>
      <c r="D8" s="216">
        <f t="shared" si="0"/>
        <v>0.00421940928270043</v>
      </c>
      <c r="E8" s="215">
        <v>0.942</v>
      </c>
      <c r="F8" s="216">
        <f t="shared" si="1"/>
        <v>0.0106157112526539</v>
      </c>
    </row>
    <row r="9" ht="15" customHeight="1">
      <c r="A9" s="211" t="s">
        <v>2143</v>
      </c>
      <c r="B9" s="214">
        <v>1814</v>
      </c>
      <c r="C9" s="214">
        <v>1785</v>
      </c>
      <c r="D9" s="216">
        <f t="shared" si="0"/>
        <v>0.0162464985994398</v>
      </c>
      <c r="E9" s="214">
        <v>1725</v>
      </c>
      <c r="F9" s="216">
        <f t="shared" si="1"/>
        <v>0.0515942028985507</v>
      </c>
    </row>
    <row r="10" ht="15" customHeight="1">
      <c r="A10" s="211" t="s">
        <v>10</v>
      </c>
      <c r="B10" s="227">
        <v>7050000</v>
      </c>
      <c r="C10" s="227">
        <v>6900000</v>
      </c>
      <c r="D10" s="216">
        <f t="shared" si="0"/>
        <v>0.0217391304347826</v>
      </c>
      <c r="E10" s="227">
        <v>6650000</v>
      </c>
      <c r="F10" s="216">
        <f t="shared" si="1"/>
        <v>0.0601503759398496</v>
      </c>
    </row>
    <row r="11" ht="15" customHeight="1">
      <c r="A11" s="211" t="s">
        <v>89</v>
      </c>
      <c r="B11" s="470">
        <v>0.14</v>
      </c>
      <c r="C11" s="470">
        <v>0.138</v>
      </c>
      <c r="D11" s="216">
        <f t="shared" si="0"/>
        <v>0.0144927536231884</v>
      </c>
      <c r="E11" s="470">
        <v>0.133</v>
      </c>
      <c r="F11" s="216">
        <f t="shared" si="1"/>
        <v>0.0526315789473685</v>
      </c>
    </row>
    <row r="12" ht="15" customHeight="1">
      <c r="A12" s="211" t="s">
        <v>34</v>
      </c>
      <c r="B12" s="232">
        <v>1.52</v>
      </c>
      <c r="C12" s="232">
        <v>1.48</v>
      </c>
      <c r="D12" s="216">
        <f t="shared" si="0"/>
        <v>0.0270270270270271</v>
      </c>
      <c r="E12" s="232">
        <v>1.45</v>
      </c>
      <c r="F12" s="216">
        <f t="shared" si="1"/>
        <v>0.0482758620689656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F04FBE8-3038-19E8-84D8-6002510E1138}" mc:Ignorable="x14ac xr xr2 xr3">
  <dimension ref="A1:GR50000"/>
  <sheetViews>
    <sheetView showGridLines="0" topLeftCell="A1" workbookViewId="0">
      <selection activeCell="A1" sqref="A1"/>
    </sheetView>
  </sheetViews>
  <sheetFormatPr defaultRowHeight="15" defaultColWidth="7.75390625" customHeight="1"/>
  <cols>
    <col min="1" max="1" width="17.50390625" customWidth="1"/>
  </cols>
  <sheetData>
    <row r="1" ht="19.5" customHeight="1">
      <c r="A1" s="340" t="s">
        <v>2144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</row>
    <row r="3" ht="15.75" customHeight="1">
      <c r="A3" s="222" t="s">
        <v>2145</v>
      </c>
      <c r="B3" s="222"/>
      <c r="C3" s="222"/>
      <c r="D3" s="222"/>
      <c r="E3" s="222"/>
      <c r="F3" s="222"/>
      <c r="G3" s="222"/>
      <c r="H3" s="222"/>
      <c r="I3" s="222"/>
      <c r="J3" s="222"/>
      <c r="K3" s="222"/>
      <c r="L3" s="222"/>
    </row>
    <row r="4" ht="13.5" customHeight="1">
      <c r="A4" s="210" t="s">
        <v>19</v>
      </c>
      <c r="B4" s="210" t="s">
        <v>115</v>
      </c>
      <c r="C4" s="210" t="s">
        <v>2146</v>
      </c>
      <c r="D4" s="210" t="s">
        <v>1956</v>
      </c>
      <c r="E4" s="210" t="s">
        <v>657</v>
      </c>
      <c r="F4" s="210" t="s">
        <v>23</v>
      </c>
      <c r="G4" s="398"/>
    </row>
    <row r="5" ht="13.5" customHeight="1">
      <c r="A5" s="211" t="s">
        <v>2147</v>
      </c>
      <c r="B5" s="235">
        <v>12.8</v>
      </c>
      <c r="C5" s="235">
        <v>14.2</v>
      </c>
      <c r="D5" s="236">
        <f t="shared" si="0" ref="D5:D12">B5-C5</f>
        <v>-1.4</v>
      </c>
      <c r="E5" s="235">
        <v>11.5</v>
      </c>
      <c r="F5" s="213" t="str">
        <f t="shared" si="1" ref="F5:F8">IF(B5&lt;=E5,"✓ On Track","⚠ Behind")</f>
        <v>⚠ Behind</v>
      </c>
    </row>
    <row r="6" ht="13.5" customHeight="1">
      <c r="A6" s="211" t="s">
        <v>2148</v>
      </c>
      <c r="B6" s="235">
        <v>48.5</v>
      </c>
      <c r="C6" s="235">
        <v>52.3</v>
      </c>
      <c r="D6" s="236">
        <f t="shared" si="0"/>
        <v>-3.8</v>
      </c>
      <c r="E6" s="235">
        <v>45</v>
      </c>
      <c r="F6" s="213" t="str">
        <f t="shared" si="1"/>
        <v>⚠ Behind</v>
      </c>
    </row>
    <row r="7" ht="13.5" customHeight="1">
      <c r="A7" s="211" t="s">
        <v>2149</v>
      </c>
      <c r="B7" s="215">
        <v>0.42</v>
      </c>
      <c r="C7" s="215">
        <v>0.38</v>
      </c>
      <c r="D7" s="216">
        <f t="shared" si="0"/>
        <v>0.04</v>
      </c>
      <c r="E7" s="215">
        <v>0.5</v>
      </c>
      <c r="F7" s="213" t="str">
        <f t="shared" si="2" ref="F7:F12">IF(B7&gt;=E7,"✓ On Track","⚠ Behind")</f>
        <v>⚠ Behind</v>
      </c>
    </row>
    <row r="8" ht="13.5" customHeight="1">
      <c r="A8" s="211" t="s">
        <v>2150</v>
      </c>
      <c r="B8" s="212">
        <v>8.2</v>
      </c>
      <c r="C8" s="212">
        <v>9.1</v>
      </c>
      <c r="D8" s="236">
        <f t="shared" si="0"/>
        <v>-0.9</v>
      </c>
      <c r="E8" s="212">
        <v>7.5</v>
      </c>
      <c r="F8" s="213" t="str">
        <f t="shared" si="1"/>
        <v>⚠ Behind</v>
      </c>
    </row>
    <row r="9" ht="13.5" customHeight="1">
      <c r="A9" s="211" t="s">
        <v>2151</v>
      </c>
      <c r="B9" s="235">
        <v>72</v>
      </c>
      <c r="C9" s="235">
        <v>68</v>
      </c>
      <c r="D9" s="471">
        <f t="shared" si="0"/>
        <v>4</v>
      </c>
      <c r="E9" s="235">
        <v>75</v>
      </c>
      <c r="F9" s="213" t="str">
        <f t="shared" si="2"/>
        <v>⚠ Behind</v>
      </c>
    </row>
    <row r="10" ht="13.5" customHeight="1">
      <c r="A10" s="211" t="s">
        <v>2152</v>
      </c>
      <c r="B10" s="215">
        <v>0.85</v>
      </c>
      <c r="C10" s="215">
        <v>0.72</v>
      </c>
      <c r="D10" s="216">
        <f t="shared" si="0"/>
        <v>0.13</v>
      </c>
      <c r="E10" s="215">
        <v>1</v>
      </c>
      <c r="F10" s="213" t="str">
        <f t="shared" si="2"/>
        <v>⚠ Behind</v>
      </c>
    </row>
    <row r="11" ht="13.5" customHeight="1">
      <c r="A11" s="211" t="s">
        <v>2153</v>
      </c>
      <c r="B11" s="215">
        <v>0.68</v>
      </c>
      <c r="C11" s="215">
        <v>0.52</v>
      </c>
      <c r="D11" s="216">
        <f t="shared" si="0"/>
        <v>0.16</v>
      </c>
      <c r="E11" s="215">
        <v>0.9</v>
      </c>
      <c r="F11" s="213" t="str">
        <f t="shared" si="2"/>
        <v>⚠ Behind</v>
      </c>
    </row>
    <row r="12" ht="13.5" customHeight="1">
      <c r="A12" s="211" t="s">
        <v>2154</v>
      </c>
      <c r="B12" s="235">
        <v>24</v>
      </c>
      <c r="C12" s="235">
        <v>16</v>
      </c>
      <c r="D12" s="471">
        <f t="shared" si="0"/>
        <v>8</v>
      </c>
      <c r="E12" s="235">
        <v>40</v>
      </c>
      <c r="F12" s="213" t="str">
        <f t="shared" si="2"/>
        <v>⚠ Behind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A8EFFF8-6893-754B-D8F8-3A49A69BC3C4}" mc:Ignorable="x14ac xr xr2 xr3">
  <dimension ref="A1:GR50000"/>
  <sheetViews>
    <sheetView topLeftCell="A1" workbookViewId="0">
      <selection activeCell="A1" sqref="A1"/>
    </sheetView>
  </sheetViews>
  <sheetFormatPr defaultRowHeight="15" defaultColWidth="7.75390625" customHeight="1"/>
  <cols>
    <col min="1" max="1" width="0.625" customWidth="1"/>
    <col min="2" max="2" width="77.75390625" customWidth="1"/>
    <col min="3" max="3" width="17.125" customWidth="1"/>
    <col min="4" max="4" width="16.25390625" customWidth="1"/>
    <col min="5" max="6" width="10.00390625" customWidth="1"/>
    <col min="7" max="7" width="7.50390625" customWidth="1"/>
    <col min="8" max="8" width="10.00390625" customWidth="1"/>
    <col min="9" max="9" width="18.75390625" customWidth="1"/>
    <col min="10" max="10" width="15.00390625" customWidth="1"/>
    <col min="11" max="11" width="17.375" customWidth="1"/>
  </cols>
  <sheetData>
    <row r="2" ht="21" customHeight="1">
      <c r="B2" s="472" t="s">
        <v>2155</v>
      </c>
    </row>
    <row r="3" ht="13.5" customHeight="1">
      <c r="B3" s="473" t="s">
        <v>2156</v>
      </c>
    </row>
    <row r="5" ht="15" customHeight="1">
      <c r="B5" s="165" t="s">
        <v>2157</v>
      </c>
      <c r="C5" s="166"/>
      <c r="D5" s="166"/>
      <c r="E5" s="166"/>
      <c r="F5" s="166"/>
      <c r="G5" s="166"/>
      <c r="H5" s="166"/>
      <c r="I5" s="166"/>
      <c r="J5" s="166"/>
      <c r="K5" s="166"/>
    </row>
    <row r="6" ht="12.75" customHeight="1">
      <c r="B6" s="474" t="s">
        <v>2158</v>
      </c>
      <c r="D6" s="474" t="s">
        <v>2159</v>
      </c>
      <c r="F6" s="474"/>
      <c r="H6" s="474" t="s">
        <v>2160</v>
      </c>
      <c r="J6" s="474" t="s">
        <v>2161</v>
      </c>
    </row>
    <row r="7" ht="25.5" customHeight="1">
      <c r="B7" s="475">
        <f>COUNTIF(J28:J49,"⚠")+COUNTIF(J28:J49,"✗")</f>
        <v>8</v>
      </c>
      <c r="D7" s="476">
        <f>COUNTIF(J28:J49,"✗")</f>
        <v>2</v>
      </c>
      <c r="F7" s="477">
        <f>_xlfn.IFERROR(COUNTIF(J28:J49,"⚠"),0)</f>
        <v>6</v>
      </c>
      <c r="H7" s="478">
        <v>1</v>
      </c>
      <c r="J7" s="479">
        <v>3</v>
      </c>
    </row>
    <row r="10" ht="15" customHeight="1">
      <c r="B10" s="480" t="s">
        <v>2162</v>
      </c>
      <c r="C10" s="481"/>
      <c r="D10" s="481"/>
      <c r="E10" s="481"/>
      <c r="F10" s="481"/>
      <c r="G10" s="481"/>
      <c r="H10" s="481"/>
      <c r="I10" s="481"/>
      <c r="J10" s="481"/>
      <c r="K10" s="481"/>
    </row>
    <row r="11" ht="12.75" customHeight="1">
      <c r="B11" s="482" t="s">
        <v>198</v>
      </c>
      <c r="C11" s="482" t="s">
        <v>19</v>
      </c>
      <c r="D11" s="482" t="s">
        <v>114</v>
      </c>
      <c r="E11" s="482" t="s">
        <v>115</v>
      </c>
      <c r="F11" s="482" t="s">
        <v>22</v>
      </c>
      <c r="G11" s="482" t="s">
        <v>23</v>
      </c>
      <c r="H11" s="482" t="s">
        <v>412</v>
      </c>
      <c r="I11" s="482" t="s">
        <v>2163</v>
      </c>
      <c r="J11" s="482" t="s">
        <v>2164</v>
      </c>
      <c r="K11" s="482" t="s">
        <v>490</v>
      </c>
    </row>
    <row r="12" ht="13.5" customHeight="1">
      <c r="B12" s="483" t="str">
        <f>HYPERLINK("#FIN_07_Debt_Covenant!A1","FIN_07 →")</f>
        <v>FIN_07 →</v>
      </c>
      <c r="C12" s="484" t="s">
        <v>2166</v>
      </c>
      <c r="D12" s="484" t="s">
        <v>2167</v>
      </c>
      <c r="E12" s="484"/>
      <c r="F12" s="485">
        <f>_xlfn.IFERROR(-1.7%,0)</f>
        <v>-0.017</v>
      </c>
      <c r="G12" s="484"/>
      <c r="H12" s="484" t="s">
        <v>355</v>
      </c>
      <c r="I12" s="484" t="s">
        <v>1413</v>
      </c>
      <c r="J12" s="484" t="s">
        <v>2168</v>
      </c>
      <c r="K12" s="484" t="s">
        <v>2169</v>
      </c>
    </row>
    <row r="13" ht="13.5" customHeight="1">
      <c r="B13" s="483" t="str">
        <f>HYPERLINK("#OPS_11_Occupancy_Mix!A1","OPS_11 →")</f>
        <v>OPS_11 →</v>
      </c>
      <c r="C13" s="484" t="s">
        <v>9</v>
      </c>
      <c r="D13" s="484" t="s">
        <v>2171</v>
      </c>
      <c r="E13" s="484"/>
      <c r="F13" s="485">
        <f>_xlfn.IFERROR(-0.9%,0)</f>
        <v>-0.009</v>
      </c>
      <c r="G13" s="484"/>
      <c r="H13" s="484" t="s">
        <v>679</v>
      </c>
      <c r="I13" s="484" t="s">
        <v>2172</v>
      </c>
      <c r="J13" s="484" t="s">
        <v>2173</v>
      </c>
      <c r="K13" s="484" t="s">
        <v>1383</v>
      </c>
    </row>
    <row r="16" ht="15" customHeight="1">
      <c r="B16" s="486" t="s">
        <v>2174</v>
      </c>
      <c r="C16" s="487"/>
      <c r="D16" s="487"/>
      <c r="E16" s="487"/>
      <c r="F16" s="487"/>
      <c r="G16" s="487"/>
      <c r="H16" s="487"/>
      <c r="I16" s="487"/>
      <c r="J16" s="487"/>
      <c r="K16" s="487"/>
    </row>
    <row r="17" ht="12.75" customHeight="1">
      <c r="B17" s="488" t="s">
        <v>198</v>
      </c>
      <c r="C17" s="488" t="s">
        <v>19</v>
      </c>
      <c r="D17" s="488" t="s">
        <v>114</v>
      </c>
      <c r="E17" s="488" t="s">
        <v>115</v>
      </c>
      <c r="F17" s="488" t="s">
        <v>22</v>
      </c>
      <c r="G17" s="488" t="s">
        <v>23</v>
      </c>
      <c r="H17" s="488" t="s">
        <v>412</v>
      </c>
      <c r="I17" s="488" t="s">
        <v>2163</v>
      </c>
      <c r="J17" s="488" t="s">
        <v>2164</v>
      </c>
      <c r="K17" s="488" t="s">
        <v>490</v>
      </c>
    </row>
    <row r="18" ht="13.5" customHeight="1">
      <c r="B18" s="489" t="str">
        <f>HYPERLINK("#FIN_04_Budget_Variance!A1","FIN_04 →")</f>
        <v>FIN_04 →</v>
      </c>
      <c r="C18" s="490" t="s">
        <v>256</v>
      </c>
      <c r="D18" s="490" t="s">
        <v>2176</v>
      </c>
      <c r="E18" s="490"/>
      <c r="F18" s="491">
        <f>_xlfn.IFERROR(+1.2%,0)</f>
        <v>0.012</v>
      </c>
      <c r="G18" s="490"/>
      <c r="H18" s="490" t="s">
        <v>2177</v>
      </c>
      <c r="I18" s="490" t="s">
        <v>679</v>
      </c>
      <c r="J18" s="490" t="s">
        <v>2178</v>
      </c>
      <c r="K18" s="490" t="s">
        <v>2179</v>
      </c>
    </row>
    <row r="19" ht="13.5" customHeight="1">
      <c r="B19" s="489" t="str">
        <f>HYPERLINK("#MKT_16_Marketing_CPA!A1","MKT_16 →")</f>
        <v>MKT_16 →</v>
      </c>
      <c r="C19" s="490" t="s">
        <v>519</v>
      </c>
      <c r="D19" s="490" t="s">
        <v>2181</v>
      </c>
      <c r="E19" s="490"/>
      <c r="F19" s="491">
        <f>_xlfn.IFERROR(+9.3%,0)</f>
        <v>0.093</v>
      </c>
      <c r="G19" s="490"/>
      <c r="H19" s="490" t="s">
        <v>2182</v>
      </c>
      <c r="I19" s="490" t="s">
        <v>2183</v>
      </c>
      <c r="J19" s="490" t="s">
        <v>2184</v>
      </c>
      <c r="K19" s="490" t="s">
        <v>2185</v>
      </c>
    </row>
    <row r="20" ht="13.5" customHeight="1">
      <c r="B20" s="489" t="str">
        <f>HYPERLINK("#OPS_13_Turnover_MakeReady!A1","OPS_13 →")</f>
        <v>OPS_13 →</v>
      </c>
      <c r="C20" s="490" t="s">
        <v>2187</v>
      </c>
      <c r="D20" s="490" t="s">
        <v>2188</v>
      </c>
      <c r="E20" s="490"/>
      <c r="F20" s="491">
        <f>_xlfn.IFERROR(+31%,0)</f>
        <v>0.31</v>
      </c>
      <c r="G20" s="490"/>
      <c r="H20" s="490" t="s">
        <v>700</v>
      </c>
      <c r="I20" s="490" t="s">
        <v>697</v>
      </c>
      <c r="J20" s="490" t="s">
        <v>2189</v>
      </c>
      <c r="K20" s="490" t="s">
        <v>2190</v>
      </c>
    </row>
    <row r="21" ht="13.5" customHeight="1">
      <c r="B21" s="489" t="str">
        <f>HYPERLINK("#OPS_12_Renewal_Retention!A1","OPS_12 →")</f>
        <v>OPS_12 →</v>
      </c>
      <c r="C21" s="490" t="s">
        <v>31</v>
      </c>
      <c r="D21" s="490" t="s">
        <v>2192</v>
      </c>
      <c r="E21" s="490"/>
      <c r="F21" s="491">
        <f>_xlfn.IFERROR(-5.5%,0)</f>
        <v>-0.055</v>
      </c>
      <c r="G21" s="490"/>
      <c r="H21" s="490" t="s">
        <v>2177</v>
      </c>
      <c r="I21" s="490" t="s">
        <v>679</v>
      </c>
      <c r="J21" s="490" t="s">
        <v>2056</v>
      </c>
      <c r="K21" s="490" t="s">
        <v>2193</v>
      </c>
    </row>
    <row r="22" ht="13.5" customHeight="1">
      <c r="B22" s="489" t="str">
        <f>HYPERLINK("#FIN_08_AR_Bad_Debt!A1","FIN_08 →")</f>
        <v>FIN_08 →</v>
      </c>
      <c r="C22" s="490" t="s">
        <v>224</v>
      </c>
      <c r="D22" s="490" t="s">
        <v>2195</v>
      </c>
      <c r="E22" s="490"/>
      <c r="F22" s="491">
        <f>_xlfn.IFERROR(+26%,0)</f>
        <v>0.26</v>
      </c>
      <c r="G22" s="490"/>
      <c r="H22" s="490" t="s">
        <v>2177</v>
      </c>
      <c r="I22" s="490" t="s">
        <v>684</v>
      </c>
      <c r="J22" s="490" t="s">
        <v>2196</v>
      </c>
      <c r="K22" s="490" t="s">
        <v>2197</v>
      </c>
    </row>
    <row r="23" ht="13.5" customHeight="1">
      <c r="B23" s="489" t="str">
        <f>HYPERLINK("#DEV_19_Cost_Complete!A1","DEV_19 →")</f>
        <v>DEV_19 →</v>
      </c>
      <c r="C23" s="490" t="s">
        <v>2199</v>
      </c>
      <c r="D23" s="490" t="s">
        <v>2176</v>
      </c>
      <c r="E23" s="490"/>
      <c r="F23" s="491">
        <f>_xlfn.IFERROR(+2.2%,0)</f>
        <v>0.022</v>
      </c>
      <c r="G23" s="490"/>
      <c r="H23" s="490" t="s">
        <v>2200</v>
      </c>
      <c r="I23" s="490" t="s">
        <v>708</v>
      </c>
      <c r="J23" s="490" t="s">
        <v>2201</v>
      </c>
      <c r="K23" s="490" t="s">
        <v>2202</v>
      </c>
    </row>
    <row r="26" ht="15" customHeight="1">
      <c r="B26" s="492" t="s">
        <v>2203</v>
      </c>
      <c r="C26" s="158"/>
      <c r="D26" s="158"/>
      <c r="E26" s="158"/>
      <c r="F26" s="158"/>
      <c r="G26" s="158"/>
      <c r="H26" s="158"/>
      <c r="I26" s="158"/>
      <c r="J26" s="158"/>
      <c r="K26" s="158"/>
    </row>
    <row r="27" ht="12.75" customHeight="1">
      <c r="B27" s="493" t="s">
        <v>489</v>
      </c>
      <c r="C27" s="493" t="s">
        <v>2204</v>
      </c>
      <c r="D27" s="493" t="s">
        <v>2205</v>
      </c>
      <c r="E27" s="493" t="s">
        <v>92</v>
      </c>
      <c r="F27" s="493" t="s">
        <v>199</v>
      </c>
      <c r="G27" s="493" t="s">
        <v>657</v>
      </c>
      <c r="H27" s="493" t="s">
        <v>85</v>
      </c>
      <c r="I27" s="493" t="s">
        <v>86</v>
      </c>
      <c r="J27" s="493" t="s">
        <v>23</v>
      </c>
      <c r="K27" s="493" t="s">
        <v>2206</v>
      </c>
    </row>
    <row r="28" ht="16.5" customHeight="1">
      <c r="B28" s="494">
        <v>1</v>
      </c>
      <c r="C28" s="489" t="str">
        <f>HYPERLINK("#FIN_01_Investor_Pack!A1","FIN_01 →")</f>
        <v>FIN_01 →</v>
      </c>
      <c r="D28" s="494" t="s">
        <v>2208</v>
      </c>
      <c r="E28" s="494" t="s">
        <v>2209</v>
      </c>
      <c r="F28" s="494" t="s">
        <v>153</v>
      </c>
      <c r="G28" s="494" t="s">
        <v>2210</v>
      </c>
      <c r="H28" s="494" t="s">
        <v>2211</v>
      </c>
      <c r="I28" s="494">
        <f>+1.4%</f>
        <v>0.014</v>
      </c>
      <c r="J28" s="495" t="s">
        <v>27</v>
      </c>
      <c r="K28" s="494" t="s">
        <v>2212</v>
      </c>
    </row>
    <row r="29" ht="16.5" customHeight="1">
      <c r="B29" s="494">
        <v>2</v>
      </c>
      <c r="C29" s="489" t="str">
        <f>HYPERLINK("#FIN_02_NOI_Pack!A1","FIN_02 →")</f>
        <v>FIN_02 →</v>
      </c>
      <c r="D29" s="494" t="s">
        <v>2214</v>
      </c>
      <c r="E29" s="494" t="s">
        <v>2209</v>
      </c>
      <c r="F29" s="494" t="s">
        <v>8</v>
      </c>
      <c r="G29" s="494" t="s">
        <v>2215</v>
      </c>
      <c r="H29" s="494" t="s">
        <v>2216</v>
      </c>
      <c r="I29" s="494">
        <f>+1.8%</f>
        <v>0.018</v>
      </c>
      <c r="J29" s="495" t="s">
        <v>27</v>
      </c>
      <c r="K29" s="494" t="s">
        <v>2212</v>
      </c>
    </row>
    <row r="30" ht="16.5" customHeight="1">
      <c r="B30" s="494">
        <v>3</v>
      </c>
      <c r="C30" s="489" t="str">
        <f>HYPERLINK("#FIN_03_Rent_Roll!A1","FIN_03 →")</f>
        <v>FIN_03 →</v>
      </c>
      <c r="D30" s="494" t="s">
        <v>2218</v>
      </c>
      <c r="E30" s="494" t="s">
        <v>2209</v>
      </c>
      <c r="F30" s="494" t="s">
        <v>2219</v>
      </c>
      <c r="G30" s="494" t="s">
        <v>2220</v>
      </c>
      <c r="H30" s="494" t="s">
        <v>2221</v>
      </c>
      <c r="I30" s="494">
        <f>-0.3%</f>
        <v>-0.003</v>
      </c>
      <c r="J30" s="495" t="s">
        <v>27</v>
      </c>
      <c r="K30" s="494" t="s">
        <v>2212</v>
      </c>
    </row>
    <row r="31" ht="16.5" customHeight="1">
      <c r="B31" s="494">
        <v>4</v>
      </c>
      <c r="C31" s="489" t="str">
        <f>HYPERLINK("#FIN_04_Budget_Variance!A1","FIN_04 →")</f>
        <v>FIN_04 →</v>
      </c>
      <c r="D31" s="494" t="s">
        <v>256</v>
      </c>
      <c r="E31" s="494" t="s">
        <v>2209</v>
      </c>
      <c r="F31" s="494" t="s">
        <v>86</v>
      </c>
      <c r="G31" s="494" t="s">
        <v>2222</v>
      </c>
      <c r="H31" s="494" t="s">
        <v>2223</v>
      </c>
      <c r="I31" s="494">
        <f>+1.2%</f>
        <v>0.012</v>
      </c>
      <c r="J31" s="491" t="s">
        <v>94</v>
      </c>
      <c r="K31" s="494" t="s">
        <v>2212</v>
      </c>
    </row>
    <row r="32" ht="16.5" customHeight="1">
      <c r="B32" s="494">
        <v>5</v>
      </c>
      <c r="C32" s="489" t="str">
        <f>HYPERLINK("#FIN_05_Cash_Flow!A1","FIN_05 →")</f>
        <v>FIN_05 →</v>
      </c>
      <c r="D32" s="494" t="s">
        <v>2225</v>
      </c>
      <c r="E32" s="494" t="s">
        <v>2209</v>
      </c>
      <c r="F32" s="494" t="s">
        <v>2226</v>
      </c>
      <c r="G32" s="494" t="s">
        <v>2227</v>
      </c>
      <c r="H32" s="494" t="s">
        <v>2228</v>
      </c>
      <c r="I32" s="494">
        <f>+4.8%</f>
        <v>0.048</v>
      </c>
      <c r="J32" s="495" t="s">
        <v>27</v>
      </c>
      <c r="K32" s="494" t="s">
        <v>2212</v>
      </c>
    </row>
    <row r="33" ht="16.5" customHeight="1">
      <c r="B33" s="494">
        <v>6</v>
      </c>
      <c r="C33" s="489" t="str">
        <f>HYPERLINK("#FIN_06_Capex!A1","FIN_06 →")</f>
        <v>FIN_06 →</v>
      </c>
      <c r="D33" s="494" t="s">
        <v>2230</v>
      </c>
      <c r="E33" s="494" t="s">
        <v>2209</v>
      </c>
      <c r="F33" s="494" t="s">
        <v>2231</v>
      </c>
      <c r="G33" s="494" t="s">
        <v>2232</v>
      </c>
      <c r="H33" s="494" t="s">
        <v>2233</v>
      </c>
      <c r="I33" s="494">
        <f>-4.8%</f>
        <v>-0.048</v>
      </c>
      <c r="J33" s="495" t="s">
        <v>27</v>
      </c>
      <c r="K33" s="494" t="s">
        <v>2212</v>
      </c>
    </row>
    <row r="34" ht="16.5" customHeight="1">
      <c r="B34" s="494">
        <v>7</v>
      </c>
      <c r="C34" s="489" t="str">
        <f>HYPERLINK("#FIN_07_Debt_Covenant!A1","FIN_07 →")</f>
        <v>FIN_07 →</v>
      </c>
      <c r="D34" s="494" t="s">
        <v>2234</v>
      </c>
      <c r="E34" s="494" t="s">
        <v>2209</v>
      </c>
      <c r="F34" s="494" t="s">
        <v>34</v>
      </c>
      <c r="G34" s="494" t="s">
        <v>2235</v>
      </c>
      <c r="H34" s="494" t="s">
        <v>2236</v>
      </c>
      <c r="I34" s="494">
        <f>-1.7%</f>
        <v>-0.017</v>
      </c>
      <c r="J34" s="496" t="s">
        <v>25</v>
      </c>
      <c r="K34" s="494" t="s">
        <v>2212</v>
      </c>
    </row>
    <row r="35" ht="16.5" customHeight="1">
      <c r="B35" s="494">
        <v>8</v>
      </c>
      <c r="C35" s="489" t="str">
        <f>HYPERLINK("#FIN_08_AR_Bad_Debt!A1","FIN_08 →")</f>
        <v>FIN_08 →</v>
      </c>
      <c r="D35" s="494" t="s">
        <v>2237</v>
      </c>
      <c r="E35" s="494" t="s">
        <v>2209</v>
      </c>
      <c r="F35" s="494" t="s">
        <v>2238</v>
      </c>
      <c r="G35" s="494" t="s">
        <v>2239</v>
      </c>
      <c r="H35" s="494" t="s">
        <v>2240</v>
      </c>
      <c r="I35" s="494">
        <f>+26%</f>
        <v>0.26</v>
      </c>
      <c r="J35" s="491" t="s">
        <v>94</v>
      </c>
      <c r="K35" s="494" t="s">
        <v>2212</v>
      </c>
    </row>
    <row r="36" ht="16.5" customHeight="1">
      <c r="B36" s="494">
        <v>9</v>
      </c>
      <c r="C36" s="489" t="str">
        <f>HYPERLINK("#OPS_09_Leasing_OnePager!A1","OPS_09 →")</f>
        <v>OPS_09 →</v>
      </c>
      <c r="D36" s="494" t="s">
        <v>2242</v>
      </c>
      <c r="E36" s="494" t="s">
        <v>2243</v>
      </c>
      <c r="F36" s="494" t="s">
        <v>2244</v>
      </c>
      <c r="G36" s="494">
        <v>15</v>
      </c>
      <c r="H36" s="494">
        <v>14</v>
      </c>
      <c r="I36" s="494">
        <f>-6.7%</f>
        <v>-0.067</v>
      </c>
      <c r="J36" s="495" t="s">
        <v>27</v>
      </c>
      <c r="K36" s="494" t="s">
        <v>2212</v>
      </c>
    </row>
    <row r="37" ht="16.5" customHeight="1">
      <c r="B37" s="494">
        <v>10</v>
      </c>
      <c r="C37" s="489" t="str">
        <f>HYPERLINK("#OPS_10_Leasing_Funnel!A1","OPS_10 →")</f>
        <v>OPS_10 →</v>
      </c>
      <c r="D37" s="494" t="s">
        <v>2246</v>
      </c>
      <c r="E37" s="494" t="s">
        <v>2243</v>
      </c>
      <c r="F37" s="494" t="s">
        <v>515</v>
      </c>
      <c r="G37" s="494" t="s">
        <v>2247</v>
      </c>
      <c r="H37" s="494" t="s">
        <v>2248</v>
      </c>
      <c r="I37" s="494">
        <f>-8%</f>
        <v>-0.08</v>
      </c>
      <c r="J37" s="495" t="s">
        <v>27</v>
      </c>
      <c r="K37" s="494" t="s">
        <v>2212</v>
      </c>
    </row>
    <row r="38" ht="16.5" customHeight="1">
      <c r="B38" s="494">
        <v>11</v>
      </c>
      <c r="C38" s="489" t="str">
        <f>HYPERLINK("#OPS_11_Occupancy_Mix!A1","OPS_11 →")</f>
        <v>OPS_11 →</v>
      </c>
      <c r="D38" s="494" t="s">
        <v>2249</v>
      </c>
      <c r="E38" s="494" t="s">
        <v>2243</v>
      </c>
      <c r="F38" s="494" t="s">
        <v>42</v>
      </c>
      <c r="G38" s="494" t="s">
        <v>2250</v>
      </c>
      <c r="H38" s="494" t="s">
        <v>2251</v>
      </c>
      <c r="I38" s="494">
        <f>-0.9%</f>
        <v>-0.009</v>
      </c>
      <c r="J38" s="496" t="s">
        <v>25</v>
      </c>
      <c r="K38" s="494" t="s">
        <v>2212</v>
      </c>
    </row>
    <row r="39" ht="16.5" customHeight="1">
      <c r="B39" s="494">
        <v>12</v>
      </c>
      <c r="C39" s="489" t="str">
        <f>HYPERLINK("#OPS_12_Renewal_Retention!A1","OPS_12 →")</f>
        <v>OPS_12 →</v>
      </c>
      <c r="D39" s="494" t="s">
        <v>2252</v>
      </c>
      <c r="E39" s="494" t="s">
        <v>2243</v>
      </c>
      <c r="F39" s="494" t="s">
        <v>1964</v>
      </c>
      <c r="G39" s="494" t="s">
        <v>2253</v>
      </c>
      <c r="H39" s="494" t="s">
        <v>2254</v>
      </c>
      <c r="I39" s="494">
        <f>-5.5%</f>
        <v>-0.055</v>
      </c>
      <c r="J39" s="491" t="s">
        <v>94</v>
      </c>
      <c r="K39" s="494" t="s">
        <v>2212</v>
      </c>
    </row>
    <row r="40" ht="16.5" customHeight="1">
      <c r="B40" s="494">
        <v>13</v>
      </c>
      <c r="C40" s="489" t="str">
        <f>HYPERLINK("#OPS_13_Turnover_MakeReady!A1","OPS_13 →")</f>
        <v>OPS_13 →</v>
      </c>
      <c r="D40" s="494" t="s">
        <v>2255</v>
      </c>
      <c r="E40" s="494" t="s">
        <v>2243</v>
      </c>
      <c r="F40" s="494" t="s">
        <v>2256</v>
      </c>
      <c r="G40" s="494" t="s">
        <v>2257</v>
      </c>
      <c r="H40" s="494">
        <v>9.2</v>
      </c>
      <c r="I40" s="494">
        <f>+31%</f>
        <v>0.31</v>
      </c>
      <c r="J40" s="491" t="s">
        <v>94</v>
      </c>
      <c r="K40" s="494" t="s">
        <v>2212</v>
      </c>
    </row>
    <row r="41" ht="16.5" customHeight="1">
      <c r="B41" s="494">
        <v>14</v>
      </c>
      <c r="C41" s="489" t="str">
        <f>HYPERLINK("#OPS_14_Maintenance_WO!A1","OPS_14 →")</f>
        <v>OPS_14 →</v>
      </c>
      <c r="D41" s="494" t="s">
        <v>2259</v>
      </c>
      <c r="E41" s="494" t="s">
        <v>2243</v>
      </c>
      <c r="F41" s="494" t="s">
        <v>2260</v>
      </c>
      <c r="G41" s="494" t="s">
        <v>2261</v>
      </c>
      <c r="H41" s="494" t="s">
        <v>2262</v>
      </c>
      <c r="I41" s="494">
        <f>-1.1%</f>
        <v>-0.011</v>
      </c>
      <c r="J41" s="495" t="s">
        <v>27</v>
      </c>
      <c r="K41" s="494" t="s">
        <v>2212</v>
      </c>
    </row>
    <row r="42" ht="16.5" customHeight="1">
      <c r="B42" s="494">
        <v>15</v>
      </c>
      <c r="C42" s="489" t="str">
        <f>HYPERLINK("#OPS_15_Resident_NPS!A1","OPS_15 →")</f>
        <v>OPS_15 →</v>
      </c>
      <c r="D42" s="494" t="s">
        <v>158</v>
      </c>
      <c r="E42" s="494" t="s">
        <v>2243</v>
      </c>
      <c r="F42" s="494" t="s">
        <v>1166</v>
      </c>
      <c r="G42" s="494">
        <v>50</v>
      </c>
      <c r="H42" s="494">
        <v>48</v>
      </c>
      <c r="I42" s="494">
        <f t="shared" si="0" ref="I42:I48">-4%</f>
        <v>-0.04</v>
      </c>
      <c r="J42" s="495" t="s">
        <v>27</v>
      </c>
      <c r="K42" s="494" t="s">
        <v>2212</v>
      </c>
    </row>
    <row r="43" ht="16.5" customHeight="1">
      <c r="B43" s="494">
        <v>16</v>
      </c>
      <c r="C43" s="489" t="str">
        <f>HYPERLINK("#MKT_16_Marketing_CPA!A1","MKT_16 →")</f>
        <v>MKT_16 →</v>
      </c>
      <c r="D43" s="494" t="s">
        <v>2264</v>
      </c>
      <c r="E43" s="494" t="s">
        <v>729</v>
      </c>
      <c r="F43" s="494" t="s">
        <v>1586</v>
      </c>
      <c r="G43" s="494" t="s">
        <v>2265</v>
      </c>
      <c r="H43" s="494" t="s">
        <v>2266</v>
      </c>
      <c r="I43" s="494">
        <f>+9.3%</f>
        <v>0.093</v>
      </c>
      <c r="J43" s="491" t="s">
        <v>94</v>
      </c>
      <c r="K43" s="494" t="s">
        <v>2212</v>
      </c>
    </row>
    <row r="44" ht="16.5" customHeight="1">
      <c r="B44" s="494">
        <v>17</v>
      </c>
      <c r="C44" s="489" t="str">
        <f>HYPERLINK("#MKT_17_Attribution!A1","MKT_17 →")</f>
        <v>MKT_17 →</v>
      </c>
      <c r="D44" s="494" t="s">
        <v>2268</v>
      </c>
      <c r="E44" s="494" t="s">
        <v>729</v>
      </c>
      <c r="F44" s="494" t="s">
        <v>2269</v>
      </c>
      <c r="G44" s="494" t="s">
        <v>2270</v>
      </c>
      <c r="H44" s="494" t="s">
        <v>530</v>
      </c>
      <c r="I44" s="494">
        <f>-2.5%</f>
        <v>-0.025</v>
      </c>
      <c r="J44" s="495" t="s">
        <v>27</v>
      </c>
      <c r="K44" s="494" t="s">
        <v>2212</v>
      </c>
    </row>
    <row r="45" ht="16.5" customHeight="1">
      <c r="B45" s="494">
        <v>18</v>
      </c>
      <c r="C45" s="489" t="str">
        <f>HYPERLINK("#DEV_18_Project_EV!A1","DEV_18 →")</f>
        <v>DEV_18 →</v>
      </c>
      <c r="D45" s="494" t="s">
        <v>2272</v>
      </c>
      <c r="E45" s="494" t="s">
        <v>733</v>
      </c>
      <c r="F45" s="494" t="s">
        <v>2273</v>
      </c>
      <c r="G45" s="494" t="s">
        <v>2274</v>
      </c>
      <c r="H45" s="494" t="s">
        <v>2275</v>
      </c>
      <c r="I45" s="494">
        <f>-5.3%</f>
        <v>-0.053</v>
      </c>
      <c r="J45" s="495" t="s">
        <v>27</v>
      </c>
      <c r="K45" s="494" t="s">
        <v>2212</v>
      </c>
    </row>
    <row r="46" ht="16.5" customHeight="1">
      <c r="B46" s="494">
        <v>19</v>
      </c>
      <c r="C46" s="489" t="str">
        <f>HYPERLINK("#DEV_19_Cost_Complete!A1","DEV_19 →")</f>
        <v>DEV_19 →</v>
      </c>
      <c r="D46" s="494" t="s">
        <v>2276</v>
      </c>
      <c r="E46" s="494" t="s">
        <v>733</v>
      </c>
      <c r="F46" s="494" t="s">
        <v>2277</v>
      </c>
      <c r="G46" s="494" t="s">
        <v>2222</v>
      </c>
      <c r="H46" s="494" t="s">
        <v>2278</v>
      </c>
      <c r="I46" s="494">
        <f>+2.2%</f>
        <v>0.022</v>
      </c>
      <c r="J46" s="491" t="s">
        <v>94</v>
      </c>
      <c r="K46" s="494" t="s">
        <v>2212</v>
      </c>
    </row>
    <row r="47" ht="16.5" customHeight="1">
      <c r="B47" s="494">
        <v>20</v>
      </c>
      <c r="C47" s="489" t="str">
        <f>HYPERLINK("#DEV_20_Entitlement_Risk!A1","DEV_20 →")</f>
        <v>DEV_20 →</v>
      </c>
      <c r="D47" s="494" t="s">
        <v>2280</v>
      </c>
      <c r="E47" s="494" t="s">
        <v>733</v>
      </c>
      <c r="F47" s="494" t="s">
        <v>1224</v>
      </c>
      <c r="G47" s="494" t="s">
        <v>639</v>
      </c>
      <c r="H47" s="494" t="s">
        <v>2125</v>
      </c>
      <c r="I47" s="494" t="s">
        <v>342</v>
      </c>
      <c r="J47" s="495" t="s">
        <v>27</v>
      </c>
      <c r="K47" s="494" t="s">
        <v>2212</v>
      </c>
    </row>
    <row r="48" ht="16.5" customHeight="1">
      <c r="B48" s="494">
        <v>21</v>
      </c>
      <c r="C48" s="489" t="str">
        <f>HYPERLINK("#CAP_21_Investor_Quarterly!A1","CAP_21 →")</f>
        <v>CAP_21 →</v>
      </c>
      <c r="D48" s="494" t="s">
        <v>2282</v>
      </c>
      <c r="E48" s="494" t="s">
        <v>771</v>
      </c>
      <c r="F48" s="494" t="s">
        <v>2283</v>
      </c>
      <c r="G48" s="494" t="s">
        <v>2284</v>
      </c>
      <c r="H48" s="494" t="s">
        <v>2285</v>
      </c>
      <c r="I48" s="494">
        <f t="shared" si="0"/>
        <v>-0.04</v>
      </c>
      <c r="J48" s="495" t="s">
        <v>27</v>
      </c>
      <c r="K48" s="494" t="s">
        <v>2212</v>
      </c>
    </row>
    <row r="49" ht="16.5" customHeight="1">
      <c r="B49" s="494">
        <v>22</v>
      </c>
      <c r="C49" s="489" t="str">
        <f>HYPERLINK("#ESG_22_Sustainability!A1","ESG_22 →")</f>
        <v>ESG_22 →</v>
      </c>
      <c r="D49" s="494" t="s">
        <v>2287</v>
      </c>
      <c r="E49" s="494" t="s">
        <v>740</v>
      </c>
      <c r="F49" s="494" t="s">
        <v>2288</v>
      </c>
      <c r="G49" s="494">
        <f>-5%</f>
        <v>-0.05</v>
      </c>
      <c r="H49" s="494">
        <f>-3.2%</f>
        <v>-0.032</v>
      </c>
      <c r="I49" s="494">
        <f>+36%</f>
        <v>0.36</v>
      </c>
      <c r="J49" s="495" t="s">
        <v>27</v>
      </c>
      <c r="K49" s="494" t="s">
        <v>2212</v>
      </c>
    </row>
    <row r="52" ht="15" customHeight="1">
      <c r="B52" s="497" t="s">
        <v>2289</v>
      </c>
      <c r="C52" s="498"/>
      <c r="D52" s="498"/>
      <c r="E52" s="498"/>
      <c r="F52" s="498"/>
      <c r="G52" s="498"/>
      <c r="H52" s="498"/>
      <c r="I52" s="498"/>
      <c r="J52" s="498"/>
      <c r="K52" s="498"/>
    </row>
    <row r="53" ht="12.75" customHeight="1">
      <c r="B53" s="499" t="s">
        <v>2290</v>
      </c>
      <c r="C53" s="499" t="s">
        <v>2291</v>
      </c>
      <c r="D53" s="499" t="s">
        <v>2292</v>
      </c>
      <c r="E53" s="499" t="s">
        <v>2293</v>
      </c>
      <c r="F53" s="499" t="s">
        <v>413</v>
      </c>
      <c r="G53" s="499" t="s">
        <v>2294</v>
      </c>
      <c r="H53" s="184">
        <v>0</v>
      </c>
      <c r="I53" s="184">
        <v>0</v>
      </c>
      <c r="J53" s="184">
        <v>0</v>
      </c>
      <c r="K53" s="184">
        <v>0</v>
      </c>
    </row>
    <row r="54" ht="16.5" customHeight="1">
      <c r="B54" s="500" t="s">
        <v>2295</v>
      </c>
      <c r="C54" s="184" t="s">
        <v>2296</v>
      </c>
      <c r="D54" s="184" t="s">
        <v>2051</v>
      </c>
      <c r="E54" s="184" t="s">
        <v>2297</v>
      </c>
      <c r="F54" s="184" t="s">
        <v>2298</v>
      </c>
      <c r="G54" s="184" t="s">
        <v>2299</v>
      </c>
    </row>
    <row r="55" ht="16.5" customHeight="1">
      <c r="B55" s="501" t="s">
        <v>2300</v>
      </c>
      <c r="C55" s="184" t="s">
        <v>2301</v>
      </c>
      <c r="D55" s="184" t="s">
        <v>2302</v>
      </c>
      <c r="E55" s="184" t="s">
        <v>2303</v>
      </c>
      <c r="F55" s="184" t="s">
        <v>2304</v>
      </c>
      <c r="G55" s="184" t="s">
        <v>2305</v>
      </c>
    </row>
    <row r="56" ht="16.5" customHeight="1">
      <c r="B56" s="502" t="s">
        <v>2306</v>
      </c>
      <c r="C56" s="184" t="s">
        <v>2307</v>
      </c>
      <c r="D56" s="184" t="s">
        <v>2168</v>
      </c>
      <c r="E56" s="184" t="s">
        <v>2308</v>
      </c>
      <c r="F56" s="184" t="s">
        <v>2309</v>
      </c>
      <c r="G56" s="184" t="s">
        <v>2310</v>
      </c>
    </row>
    <row r="57" ht="16.5" customHeight="1">
      <c r="B57" s="503" t="s">
        <v>2311</v>
      </c>
      <c r="C57" s="184" t="s">
        <v>2312</v>
      </c>
      <c r="D57" s="184" t="s">
        <v>2313</v>
      </c>
      <c r="E57" s="184" t="s">
        <v>2314</v>
      </c>
      <c r="F57" s="184" t="s">
        <v>2315</v>
      </c>
      <c r="G57" s="184" t="s">
        <v>2316</v>
      </c>
    </row>
    <row r="60" ht="15" customHeight="1">
      <c r="B60" s="504" t="s">
        <v>2317</v>
      </c>
      <c r="C60" s="505"/>
      <c r="D60" s="505"/>
      <c r="E60" s="505"/>
      <c r="F60" s="505"/>
      <c r="G60" s="505"/>
      <c r="H60" s="505"/>
      <c r="I60" s="505"/>
      <c r="J60" s="505"/>
      <c r="K60" s="505"/>
    </row>
    <row r="61" ht="12.75" customHeight="1">
      <c r="B61" s="506" t="s">
        <v>92</v>
      </c>
      <c r="C61" s="506" t="s">
        <v>2318</v>
      </c>
      <c r="D61" s="506" t="s">
        <v>2319</v>
      </c>
      <c r="E61" s="506" t="s">
        <v>2320</v>
      </c>
      <c r="F61" s="506" t="s">
        <v>1365</v>
      </c>
      <c r="G61" s="506" t="s">
        <v>1366</v>
      </c>
    </row>
    <row r="62" ht="16.5" customHeight="1">
      <c r="B62" s="184" t="s">
        <v>2321</v>
      </c>
      <c r="C62" s="500" t="s">
        <v>2195</v>
      </c>
      <c r="D62" s="501" t="s">
        <v>2322</v>
      </c>
      <c r="E62" s="507" t="s">
        <v>2323</v>
      </c>
      <c r="F62" s="184" t="s">
        <v>818</v>
      </c>
      <c r="G62" s="184" t="s">
        <v>342</v>
      </c>
    </row>
    <row r="63" ht="16.5" customHeight="1">
      <c r="B63" s="184" t="s">
        <v>42</v>
      </c>
      <c r="C63" s="500" t="s">
        <v>2324</v>
      </c>
      <c r="D63" s="501" t="s">
        <v>2325</v>
      </c>
      <c r="E63" s="507" t="s">
        <v>2326</v>
      </c>
      <c r="F63" s="184" t="s">
        <v>818</v>
      </c>
      <c r="G63" s="184" t="s">
        <v>342</v>
      </c>
    </row>
    <row r="64" ht="16.5" customHeight="1">
      <c r="B64" s="184" t="s">
        <v>2166</v>
      </c>
      <c r="C64" s="500" t="s">
        <v>1694</v>
      </c>
      <c r="D64" s="501" t="s">
        <v>2327</v>
      </c>
      <c r="E64" s="507" t="s">
        <v>2328</v>
      </c>
      <c r="F64" s="184" t="s">
        <v>800</v>
      </c>
      <c r="G64" s="184" t="s">
        <v>2329</v>
      </c>
    </row>
    <row r="65" ht="16.5" customHeight="1">
      <c r="B65" s="184" t="s">
        <v>2238</v>
      </c>
      <c r="C65" s="500" t="s">
        <v>2330</v>
      </c>
      <c r="D65" s="501" t="s">
        <v>2331</v>
      </c>
      <c r="E65" s="507" t="s">
        <v>2332</v>
      </c>
      <c r="F65" s="184" t="s">
        <v>818</v>
      </c>
      <c r="G65" s="184" t="s">
        <v>342</v>
      </c>
    </row>
    <row r="66" ht="16.5" customHeight="1">
      <c r="B66" s="184" t="s">
        <v>2264</v>
      </c>
      <c r="C66" s="500" t="s">
        <v>2333</v>
      </c>
      <c r="D66" s="501" t="s">
        <v>2334</v>
      </c>
      <c r="E66" s="507" t="s">
        <v>2335</v>
      </c>
      <c r="F66" s="184" t="s">
        <v>800</v>
      </c>
      <c r="G66" s="184" t="s">
        <v>2336</v>
      </c>
    </row>
    <row r="67" ht="16.5" customHeight="1">
      <c r="B67" s="184" t="s">
        <v>2187</v>
      </c>
      <c r="C67" s="500" t="s">
        <v>2337</v>
      </c>
      <c r="D67" s="501" t="s">
        <v>2338</v>
      </c>
      <c r="E67" s="507" t="s">
        <v>2339</v>
      </c>
      <c r="F67" s="184" t="s">
        <v>818</v>
      </c>
      <c r="G67" s="184" t="s">
        <v>342</v>
      </c>
    </row>
    <row r="68" ht="16.5" customHeight="1">
      <c r="B68" s="184" t="s">
        <v>31</v>
      </c>
      <c r="C68" s="500" t="s">
        <v>2340</v>
      </c>
      <c r="D68" s="501" t="s">
        <v>2341</v>
      </c>
      <c r="E68" s="507" t="s">
        <v>2342</v>
      </c>
      <c r="F68" s="184" t="s">
        <v>818</v>
      </c>
      <c r="G68" s="184" t="s">
        <v>342</v>
      </c>
    </row>
    <row r="69" ht="16.5" customHeight="1">
      <c r="B69" s="184" t="s">
        <v>2343</v>
      </c>
      <c r="C69" s="500" t="s">
        <v>2195</v>
      </c>
      <c r="D69" s="501" t="s">
        <v>2344</v>
      </c>
      <c r="E69" s="507" t="s">
        <v>2345</v>
      </c>
      <c r="F69" s="184" t="s">
        <v>818</v>
      </c>
      <c r="G69" s="184" t="s">
        <v>342</v>
      </c>
    </row>
    <row r="72" ht="15" customHeight="1">
      <c r="B72" s="508" t="s">
        <v>2346</v>
      </c>
      <c r="C72" s="509"/>
      <c r="D72" s="509"/>
      <c r="E72" s="509"/>
      <c r="F72" s="509"/>
      <c r="G72" s="509"/>
      <c r="H72" s="509"/>
      <c r="I72" s="509"/>
      <c r="J72" s="509"/>
      <c r="K72" s="509"/>
    </row>
    <row r="73" ht="12.75" customHeight="1">
      <c r="B73" s="510" t="s">
        <v>2347</v>
      </c>
      <c r="C73" s="510" t="s">
        <v>1362</v>
      </c>
      <c r="D73" s="510" t="s">
        <v>198</v>
      </c>
      <c r="E73" s="510" t="s">
        <v>19</v>
      </c>
      <c r="F73" s="510" t="s">
        <v>630</v>
      </c>
      <c r="G73" s="510" t="s">
        <v>23</v>
      </c>
      <c r="H73" s="510" t="s">
        <v>412</v>
      </c>
      <c r="I73" s="510" t="s">
        <v>631</v>
      </c>
      <c r="J73" s="184">
        <v>0</v>
      </c>
      <c r="K73" s="184">
        <v>0</v>
      </c>
    </row>
    <row r="74" ht="16.5" customHeight="1">
      <c r="B74" s="184" t="s">
        <v>2348</v>
      </c>
      <c r="C74" s="184" t="s">
        <v>1389</v>
      </c>
      <c r="D74" s="184" t="s">
        <v>2349</v>
      </c>
      <c r="E74" s="184" t="s">
        <v>1391</v>
      </c>
      <c r="F74" s="511" t="s">
        <v>2350</v>
      </c>
      <c r="G74" s="184" t="s">
        <v>2351</v>
      </c>
      <c r="H74" s="184" t="s">
        <v>355</v>
      </c>
      <c r="I74" s="184" t="s">
        <v>2352</v>
      </c>
    </row>
    <row r="75" ht="16.5" customHeight="1">
      <c r="B75" s="184" t="s">
        <v>2353</v>
      </c>
      <c r="C75" s="184" t="s">
        <v>1380</v>
      </c>
      <c r="D75" s="184" t="s">
        <v>568</v>
      </c>
      <c r="E75" s="184" t="s">
        <v>1382</v>
      </c>
      <c r="F75" s="511" t="s">
        <v>2350</v>
      </c>
      <c r="G75" s="184" t="s">
        <v>2351</v>
      </c>
      <c r="H75" s="184" t="s">
        <v>679</v>
      </c>
      <c r="I75" s="184" t="s">
        <v>2354</v>
      </c>
    </row>
    <row r="76" ht="16.5" customHeight="1">
      <c r="B76" s="184" t="s">
        <v>2355</v>
      </c>
      <c r="C76" s="184" t="s">
        <v>1445</v>
      </c>
      <c r="D76" s="184" t="s">
        <v>2356</v>
      </c>
      <c r="E76" s="184" t="s">
        <v>2357</v>
      </c>
      <c r="F76" s="512" t="s">
        <v>2358</v>
      </c>
      <c r="G76" s="184" t="s">
        <v>2359</v>
      </c>
      <c r="H76" s="184" t="s">
        <v>2177</v>
      </c>
      <c r="I76" s="184" t="s">
        <v>2360</v>
      </c>
    </row>
    <row r="77" ht="16.5" customHeight="1">
      <c r="B77" s="184" t="s">
        <v>2361</v>
      </c>
      <c r="C77" s="184" t="s">
        <v>1423</v>
      </c>
      <c r="D77" s="184" t="s">
        <v>576</v>
      </c>
      <c r="E77" s="184" t="s">
        <v>1425</v>
      </c>
      <c r="F77" s="512" t="s">
        <v>2358</v>
      </c>
      <c r="G77" s="184" t="s">
        <v>2359</v>
      </c>
      <c r="H77" s="184" t="s">
        <v>2182</v>
      </c>
      <c r="I77" s="184" t="s">
        <v>2362</v>
      </c>
    </row>
    <row r="78" ht="16.5" customHeight="1">
      <c r="B78" s="184" t="s">
        <v>2363</v>
      </c>
      <c r="C78" s="184" t="s">
        <v>1458</v>
      </c>
      <c r="D78" s="184" t="s">
        <v>571</v>
      </c>
      <c r="E78" s="184" t="s">
        <v>2364</v>
      </c>
      <c r="F78" s="513" t="s">
        <v>2358</v>
      </c>
      <c r="G78" s="184" t="s">
        <v>2365</v>
      </c>
      <c r="H78" s="184" t="s">
        <v>2177</v>
      </c>
      <c r="I78" s="184" t="s">
        <v>2366</v>
      </c>
    </row>
    <row r="79" ht="16.5" customHeight="1">
      <c r="B79" s="184" t="s">
        <v>2367</v>
      </c>
      <c r="C79" s="184" t="s">
        <v>1428</v>
      </c>
      <c r="D79" s="184" t="s">
        <v>570</v>
      </c>
      <c r="E79" s="184" t="s">
        <v>2368</v>
      </c>
      <c r="F79" s="513" t="s">
        <v>2358</v>
      </c>
      <c r="G79" s="184" t="s">
        <v>2365</v>
      </c>
      <c r="H79" s="184" t="s">
        <v>532</v>
      </c>
      <c r="I79" s="184" t="s">
        <v>2369</v>
      </c>
    </row>
    <row r="82" ht="15" customHeight="1">
      <c r="B82" s="492" t="s">
        <v>2370</v>
      </c>
      <c r="C82" s="158"/>
      <c r="D82" s="158"/>
      <c r="E82" s="158"/>
      <c r="F82" s="158"/>
      <c r="G82" s="158"/>
      <c r="H82" s="158"/>
      <c r="I82" s="158"/>
      <c r="J82" s="158"/>
      <c r="K82" s="158"/>
    </row>
    <row r="83" ht="12.75" customHeight="1">
      <c r="B83" s="514" t="s">
        <v>2371</v>
      </c>
    </row>
    <row r="85" ht="12.75" customHeight="1">
      <c r="B85" s="515" t="s">
        <v>1465</v>
      </c>
      <c r="C85" s="515" t="s">
        <v>2372</v>
      </c>
      <c r="D85" s="515" t="s">
        <v>1518</v>
      </c>
      <c r="E85" s="515" t="s">
        <v>2373</v>
      </c>
      <c r="F85" s="515" t="s">
        <v>2374</v>
      </c>
      <c r="G85" s="515" t="s">
        <v>2375</v>
      </c>
      <c r="H85" s="515" t="s">
        <v>2376</v>
      </c>
      <c r="I85" s="515" t="s">
        <v>2377</v>
      </c>
      <c r="J85" s="515" t="s">
        <v>1511</v>
      </c>
      <c r="K85" s="515" t="s">
        <v>118</v>
      </c>
    </row>
    <row r="86" ht="16.5" customHeight="1">
      <c r="B86" s="516" t="s">
        <v>1413</v>
      </c>
      <c r="C86" s="184" t="s">
        <v>2378</v>
      </c>
      <c r="D86" s="184" t="s">
        <v>2379</v>
      </c>
      <c r="E86" s="184">
        <v>0</v>
      </c>
      <c r="F86" s="184">
        <v>0</v>
      </c>
      <c r="G86" s="184" t="s">
        <v>27</v>
      </c>
      <c r="H86" s="184" t="s">
        <v>27</v>
      </c>
      <c r="I86" s="184" t="s">
        <v>800</v>
      </c>
      <c r="J86" s="184" t="s">
        <v>2313</v>
      </c>
      <c r="K86" s="184" t="s">
        <v>2380</v>
      </c>
    </row>
    <row r="87" ht="16.5" customHeight="1">
      <c r="B87" s="516" t="s">
        <v>355</v>
      </c>
      <c r="C87" s="184" t="s">
        <v>2381</v>
      </c>
      <c r="D87" s="184" t="s">
        <v>2382</v>
      </c>
      <c r="E87" s="184">
        <v>0</v>
      </c>
      <c r="F87" s="184" t="s">
        <v>27</v>
      </c>
      <c r="G87" s="184" t="s">
        <v>27</v>
      </c>
      <c r="H87" s="184" t="s">
        <v>27</v>
      </c>
      <c r="I87" s="184" t="s">
        <v>800</v>
      </c>
      <c r="J87" s="184" t="s">
        <v>2313</v>
      </c>
      <c r="K87" s="184" t="s">
        <v>2383</v>
      </c>
    </row>
    <row r="88" ht="16.5" customHeight="1">
      <c r="B88" s="516" t="s">
        <v>2384</v>
      </c>
      <c r="C88" s="184" t="s">
        <v>2385</v>
      </c>
      <c r="D88" s="184" t="s">
        <v>2386</v>
      </c>
      <c r="E88" s="184">
        <v>0</v>
      </c>
      <c r="F88" s="184" t="s">
        <v>27</v>
      </c>
      <c r="G88" s="184" t="s">
        <v>27</v>
      </c>
      <c r="H88" s="184" t="s">
        <v>27</v>
      </c>
      <c r="I88" s="184" t="s">
        <v>800</v>
      </c>
      <c r="J88" s="184" t="s">
        <v>2313</v>
      </c>
      <c r="K88" s="184" t="s">
        <v>2387</v>
      </c>
    </row>
    <row r="89" ht="16.5" customHeight="1">
      <c r="B89" s="517" t="s">
        <v>2388</v>
      </c>
      <c r="C89" s="184" t="s">
        <v>2389</v>
      </c>
      <c r="D89" s="184" t="s">
        <v>2390</v>
      </c>
      <c r="E89" s="184" t="s">
        <v>27</v>
      </c>
      <c r="F89" s="184" t="s">
        <v>27</v>
      </c>
      <c r="G89" s="184" t="s">
        <v>27</v>
      </c>
      <c r="H89" s="184">
        <v>0</v>
      </c>
      <c r="I89" s="184" t="s">
        <v>818</v>
      </c>
      <c r="J89" s="184" t="s">
        <v>2049</v>
      </c>
      <c r="K89" s="184" t="s">
        <v>2391</v>
      </c>
    </row>
    <row r="90" ht="16.5" customHeight="1">
      <c r="B90" s="517" t="s">
        <v>2392</v>
      </c>
      <c r="C90" s="184" t="s">
        <v>2393</v>
      </c>
      <c r="D90" s="184" t="s">
        <v>2394</v>
      </c>
      <c r="E90" s="184">
        <v>0</v>
      </c>
      <c r="F90" s="184" t="s">
        <v>27</v>
      </c>
      <c r="G90" s="184" t="s">
        <v>27</v>
      </c>
      <c r="H90" s="184">
        <v>0</v>
      </c>
      <c r="I90" s="184" t="s">
        <v>818</v>
      </c>
      <c r="J90" s="184" t="s">
        <v>2049</v>
      </c>
      <c r="K90" s="184" t="s">
        <v>2395</v>
      </c>
    </row>
    <row r="91" ht="16.5" customHeight="1">
      <c r="B91" s="517" t="s">
        <v>2396</v>
      </c>
      <c r="C91" s="184" t="s">
        <v>2397</v>
      </c>
      <c r="D91" s="184" t="s">
        <v>2398</v>
      </c>
      <c r="E91" s="184" t="s">
        <v>27</v>
      </c>
      <c r="F91" s="184" t="s">
        <v>27</v>
      </c>
      <c r="G91" s="184" t="s">
        <v>27</v>
      </c>
      <c r="H91" s="184">
        <v>0</v>
      </c>
      <c r="I91" s="184" t="s">
        <v>818</v>
      </c>
      <c r="J91" s="184" t="s">
        <v>691</v>
      </c>
      <c r="K91" s="184" t="s">
        <v>2399</v>
      </c>
    </row>
    <row r="92" ht="16.5" customHeight="1">
      <c r="B92" s="518" t="s">
        <v>751</v>
      </c>
      <c r="C92" s="184" t="s">
        <v>2400</v>
      </c>
      <c r="D92" s="184" t="s">
        <v>2401</v>
      </c>
      <c r="E92" s="184" t="s">
        <v>27</v>
      </c>
      <c r="F92" s="184" t="s">
        <v>27</v>
      </c>
      <c r="G92" s="184" t="s">
        <v>27</v>
      </c>
      <c r="H92" s="184">
        <v>0</v>
      </c>
      <c r="I92" s="184" t="s">
        <v>818</v>
      </c>
      <c r="J92" s="184" t="s">
        <v>1523</v>
      </c>
      <c r="K92" s="184" t="s">
        <v>2402</v>
      </c>
    </row>
    <row r="93" ht="16.5" customHeight="1">
      <c r="B93" s="518" t="s">
        <v>1420</v>
      </c>
      <c r="C93" s="184" t="s">
        <v>2403</v>
      </c>
      <c r="D93" s="184" t="s">
        <v>2404</v>
      </c>
      <c r="E93" s="184" t="s">
        <v>27</v>
      </c>
      <c r="F93" s="184" t="s">
        <v>27</v>
      </c>
      <c r="G93" s="184">
        <v>0</v>
      </c>
      <c r="H93" s="184">
        <v>0</v>
      </c>
      <c r="I93" s="184" t="s">
        <v>818</v>
      </c>
      <c r="J93" s="184" t="s">
        <v>1523</v>
      </c>
      <c r="K93" s="184" t="s">
        <v>2405</v>
      </c>
    </row>
    <row r="94" ht="16.5" customHeight="1">
      <c r="B94" s="518" t="s">
        <v>1431</v>
      </c>
      <c r="C94" s="184" t="s">
        <v>2406</v>
      </c>
      <c r="D94" s="184" t="s">
        <v>2407</v>
      </c>
      <c r="E94" s="184" t="s">
        <v>27</v>
      </c>
      <c r="F94" s="184" t="s">
        <v>27</v>
      </c>
      <c r="G94" s="184">
        <v>0</v>
      </c>
      <c r="H94" s="184">
        <v>0</v>
      </c>
      <c r="I94" s="184" t="s">
        <v>818</v>
      </c>
      <c r="J94" s="184" t="s">
        <v>691</v>
      </c>
      <c r="K94" s="184" t="s">
        <v>2408</v>
      </c>
    </row>
    <row r="95" ht="16.5" customHeight="1">
      <c r="B95" s="518" t="s">
        <v>2409</v>
      </c>
      <c r="C95" s="184" t="s">
        <v>2410</v>
      </c>
      <c r="D95" s="184" t="s">
        <v>2411</v>
      </c>
      <c r="E95" s="184" t="s">
        <v>27</v>
      </c>
      <c r="F95" s="184" t="s">
        <v>27</v>
      </c>
      <c r="G95" s="184">
        <v>0</v>
      </c>
      <c r="H95" s="184">
        <v>0</v>
      </c>
      <c r="I95" s="184" t="s">
        <v>800</v>
      </c>
      <c r="J95" s="184" t="s">
        <v>1523</v>
      </c>
      <c r="K95" s="184" t="s">
        <v>2412</v>
      </c>
    </row>
    <row r="96" ht="16.5" customHeight="1">
      <c r="B96" s="518" t="s">
        <v>1426</v>
      </c>
      <c r="C96" s="184" t="s">
        <v>2413</v>
      </c>
      <c r="D96" s="184" t="s">
        <v>2414</v>
      </c>
      <c r="E96" s="184" t="s">
        <v>27</v>
      </c>
      <c r="F96" s="184" t="s">
        <v>27</v>
      </c>
      <c r="G96" s="184">
        <v>0</v>
      </c>
      <c r="H96" s="184">
        <v>0</v>
      </c>
      <c r="I96" s="184" t="s">
        <v>818</v>
      </c>
      <c r="J96" s="184" t="s">
        <v>691</v>
      </c>
      <c r="K96" s="184" t="s">
        <v>2415</v>
      </c>
    </row>
    <row r="99" ht="15" customHeight="1">
      <c r="B99" s="508" t="s">
        <v>2416</v>
      </c>
      <c r="C99" s="509"/>
      <c r="D99" s="509"/>
      <c r="E99" s="509"/>
      <c r="F99" s="509"/>
    </row>
    <row r="100" ht="16.5" customHeight="1">
      <c r="B100" s="474" t="s">
        <v>2417</v>
      </c>
      <c r="C100" s="184" t="s">
        <v>2418</v>
      </c>
    </row>
    <row r="101" ht="16.5" customHeight="1">
      <c r="B101" s="474" t="s">
        <v>2419</v>
      </c>
      <c r="C101" s="184" t="s">
        <v>2420</v>
      </c>
    </row>
    <row r="102" ht="16.5" customHeight="1">
      <c r="B102" s="474" t="s">
        <v>2421</v>
      </c>
      <c r="C102" s="184" t="s">
        <v>2422</v>
      </c>
    </row>
    <row r="103" ht="16.5" customHeight="1">
      <c r="B103" s="474" t="s">
        <v>2423</v>
      </c>
      <c r="C103" s="184" t="s">
        <v>2424</v>
      </c>
    </row>
    <row r="104" ht="16.5" customHeight="1">
      <c r="B104" s="474" t="s">
        <v>2425</v>
      </c>
      <c r="C104" s="184" t="s">
        <v>2426</v>
      </c>
    </row>
    <row r="107" ht="15" customHeight="1">
      <c r="B107" s="504" t="s">
        <v>2427</v>
      </c>
      <c r="C107" s="505"/>
      <c r="D107" s="505"/>
      <c r="E107" s="505"/>
      <c r="F107" s="505"/>
    </row>
    <row r="108" ht="13.5" customHeight="1">
      <c r="B108" s="519" t="str">
        <f>HYPERLINK("mailto:mchen@company.com;swilliams@company.com;dpark@company.com?subject=URGENT: Executive Alert Escalation&amp;body=Alert requires immediate executive attention.","📧 Email All Executives")</f>
        <v>📧 Email All Executives</v>
      </c>
      <c r="D108" s="520" t="str">
        <f>HYPERLINK("mailto:jmartinez@company.com;rkim@company.com;athompson@company.com?subject=Alert Escalation - Director Review&amp;body=Please review the attached alert.","📧 Email All Directors")</f>
        <v>📧 Email All Directors</v>
      </c>
      <c r="F108" s="521" t="str">
        <f>HYPERLINK("mailto:lwong@company.com;trichards@company.com;ndavis@company.com;jwilson@company.com;esantos@company.com?subject=Alert Notification&amp;body=New alert requires attention.","📧 Email All Managers")</f>
        <v>📧 Email All Managers</v>
      </c>
    </row>
    <row r="110" ht="13.5" customHeight="1">
      <c r="B110" s="522" t="str">
        <f>HYPERLINK("mailto:swilliams@company.com;athompson@company.com?subject=CRITICAL: DSCR Covenant Alert&amp;body=DSCR has breached 1.20x threshold. Current: 1.18x. Immediate lender communication required.","📧 DSCR Breach → CFO")</f>
        <v>📧 DSCR Breach → CFO</v>
      </c>
      <c r="D110" s="522" t="str">
        <f>HYPERLINK("mailto:jmartinez@company.com;lwong@company.com?subject=CRITICAL: Occupancy Alert&amp;body=Portfolio occupancy below 92%. Current: 91.2%. Emergency leasing sprint required.","📧 Occupancy Alert → Ops")</f>
        <v>📧 Occupancy Alert → Ops</v>
      </c>
    </row>
    <row r="113" ht="15" customHeight="1">
      <c r="B113" s="497" t="s">
        <v>2433</v>
      </c>
      <c r="C113" s="498"/>
      <c r="D113" s="498"/>
      <c r="E113" s="498"/>
      <c r="F113" s="498"/>
      <c r="G113" s="498"/>
    </row>
    <row r="114" ht="12.75" customHeight="1">
      <c r="B114" s="516" t="s">
        <v>2290</v>
      </c>
      <c r="C114" s="516" t="s">
        <v>2434</v>
      </c>
      <c r="D114" s="516" t="s">
        <v>2435</v>
      </c>
      <c r="E114" s="516" t="s">
        <v>2294</v>
      </c>
    </row>
    <row r="115" ht="16.5" customHeight="1">
      <c r="B115" s="500" t="s">
        <v>2295</v>
      </c>
      <c r="C115" s="184" t="s">
        <v>2436</v>
      </c>
      <c r="D115" s="184" t="s">
        <v>2051</v>
      </c>
      <c r="E115" s="184" t="s">
        <v>2437</v>
      </c>
    </row>
    <row r="116" ht="16.5" customHeight="1">
      <c r="B116" s="501" t="s">
        <v>2300</v>
      </c>
      <c r="C116" s="184" t="s">
        <v>2438</v>
      </c>
      <c r="D116" s="184" t="s">
        <v>2302</v>
      </c>
      <c r="E116" s="184" t="s">
        <v>2439</v>
      </c>
    </row>
    <row r="117" ht="16.5" customHeight="1">
      <c r="B117" s="502" t="s">
        <v>2306</v>
      </c>
      <c r="C117" s="184" t="s">
        <v>2440</v>
      </c>
      <c r="D117" s="184" t="s">
        <v>2168</v>
      </c>
      <c r="E117" s="184" t="s">
        <v>2441</v>
      </c>
    </row>
    <row r="118" ht="16.5" customHeight="1">
      <c r="B118" s="507" t="s">
        <v>2311</v>
      </c>
      <c r="C118" s="184" t="s">
        <v>2442</v>
      </c>
      <c r="D118" s="184" t="s">
        <v>2313</v>
      </c>
      <c r="E118" s="184" t="s">
        <v>2316</v>
      </c>
    </row>
    <row r="121" ht="15.75" customHeight="1">
      <c r="B121" s="523" t="s">
        <v>2443</v>
      </c>
      <c r="C121" s="524"/>
      <c r="D121" s="524"/>
      <c r="E121" s="524"/>
      <c r="F121" s="524"/>
      <c r="G121" s="524"/>
      <c r="H121" s="524"/>
      <c r="I121" s="524"/>
      <c r="J121" s="524"/>
      <c r="K121" s="524"/>
    </row>
    <row r="122" ht="12.75" customHeight="1">
      <c r="B122" s="514" t="s">
        <v>2444</v>
      </c>
    </row>
    <row r="124" ht="13.5" customHeight="1">
      <c r="B124" s="525" t="s">
        <v>2445</v>
      </c>
      <c r="C124" s="526"/>
      <c r="D124" s="526"/>
      <c r="E124" s="526"/>
      <c r="F124" s="526"/>
      <c r="G124" s="526"/>
      <c r="H124" s="526"/>
      <c r="I124" s="526"/>
      <c r="J124" s="526"/>
      <c r="K124" s="526"/>
    </row>
    <row r="125" ht="16.5" customHeight="1">
      <c r="B125" s="474" t="s">
        <v>2446</v>
      </c>
      <c r="C125" s="184" t="s">
        <v>2447</v>
      </c>
      <c r="J125" s="527" t="str">
        <f>HYPERLINK("mailto:trichards@company.com;ndavis@company.com?subject=[L1 MONITOR] Daily Alert Digest - 01/12/2026&amp;body=Daily Performance Alert Summary%0A%0AThe following metrics require monitoring:%0A• Budget Variance: 6.2%25 (Threshold: ≤5%25)%0A• Marketing CPL: $82 (Threshold: ≤$75)%0A• Make-Ready Days: 9.2 (Threshold: ≤7)%0A%0AACTION: Review and acknowledge within 24 hours.","📧 Generate L1 Email")</f>
        <v>📧 Generate L1 Email</v>
      </c>
    </row>
    <row r="126" ht="16.5" customHeight="1">
      <c r="B126" s="474" t="s">
        <v>2449</v>
      </c>
      <c r="C126" s="184" t="s">
        <v>2450</v>
      </c>
    </row>
    <row r="127" ht="12.75" customHeight="1">
      <c r="B127" s="474" t="s">
        <v>2451</v>
      </c>
    </row>
    <row r="128" ht="16.5" customHeight="1">
      <c r="C128" s="184" t="s">
        <v>2452</v>
      </c>
    </row>
    <row r="129" ht="16.5" customHeight="1">
      <c r="C129" s="184" t="s">
        <v>2453</v>
      </c>
    </row>
    <row r="130" ht="16.5" customHeight="1">
      <c r="C130" s="184" t="s">
        <v>2454</v>
      </c>
    </row>
    <row r="131" ht="15" customHeight="1">
      <c r="C131" s="184">
        <v>0</v>
      </c>
    </row>
    <row r="132" ht="16.5" customHeight="1">
      <c r="C132" s="184" t="s">
        <v>2455</v>
      </c>
    </row>
    <row r="133" ht="16.5" customHeight="1">
      <c r="C133" s="184" t="s">
        <v>2456</v>
      </c>
    </row>
    <row r="134" ht="16.5" customHeight="1">
      <c r="C134" s="184" t="s">
        <v>2457</v>
      </c>
    </row>
    <row r="135" ht="15" customHeight="1">
      <c r="C135" s="184">
        <v>0</v>
      </c>
    </row>
    <row r="136" ht="16.5" customHeight="1">
      <c r="C136" s="184" t="s">
        <v>2458</v>
      </c>
    </row>
    <row r="137" ht="16.5" customHeight="1">
      <c r="C137" s="184" t="s">
        <v>2459</v>
      </c>
    </row>
    <row r="138" ht="15" customHeight="1">
      <c r="C138" s="184">
        <v>0</v>
      </c>
    </row>
    <row r="139" ht="16.5" customHeight="1">
      <c r="C139" s="184" t="s">
        <v>2460</v>
      </c>
    </row>
    <row r="141" ht="13.5" customHeight="1">
      <c r="B141" s="528" t="s">
        <v>2461</v>
      </c>
      <c r="C141" s="529"/>
      <c r="D141" s="529"/>
      <c r="E141" s="529"/>
      <c r="F141" s="529"/>
      <c r="G141" s="529"/>
      <c r="H141" s="529"/>
      <c r="I141" s="529"/>
      <c r="J141" s="529"/>
      <c r="K141" s="529"/>
    </row>
    <row r="142" ht="16.5" customHeight="1">
      <c r="B142" s="474" t="s">
        <v>2446</v>
      </c>
      <c r="C142" s="184" t="s">
        <v>2462</v>
      </c>
      <c r="J142" s="530" t="str">
        <f>HYPERLINK("mailto:lwong@company.com;jmartinez@company.com?subject=[L2 WARNING] Action Required - Renewal Rate Alert&amp;body=⚠️ WARNING ALERT - Action Required Within 8 Hours%0A%0AALERT DETAILS:%0A• Metric: Renewal Rate%0A• Current Value: 52%25%0A• Threshold: ≥55%25%0A• Variance: -5.5%25 below target%0A%0ARECOMMENDED ACTIONS:%0A1. Review expiring leases%0A2. Initiate retention outreach%0A3. Prepare variance memo","📧 Generate L2 Email")</f>
        <v>📧 Generate L2 Email</v>
      </c>
    </row>
    <row r="143" ht="16.5" customHeight="1">
      <c r="B143" s="474" t="s">
        <v>2449</v>
      </c>
      <c r="C143" s="184" t="s">
        <v>2464</v>
      </c>
    </row>
    <row r="144" ht="12.75" customHeight="1">
      <c r="B144" s="474" t="s">
        <v>2451</v>
      </c>
    </row>
    <row r="145" ht="16.5" customHeight="1">
      <c r="C145" s="184" t="s">
        <v>2465</v>
      </c>
    </row>
    <row r="146" ht="16.5" customHeight="1">
      <c r="C146" s="184" t="s">
        <v>2466</v>
      </c>
    </row>
    <row r="147" ht="15" customHeight="1">
      <c r="C147" s="184">
        <v>0</v>
      </c>
    </row>
    <row r="148" ht="16.5" customHeight="1">
      <c r="C148" s="184" t="s">
        <v>2467</v>
      </c>
    </row>
    <row r="149" ht="16.5" customHeight="1">
      <c r="C149" s="184" t="s">
        <v>2468</v>
      </c>
    </row>
    <row r="150" ht="16.5" customHeight="1">
      <c r="C150" s="184" t="s">
        <v>2469</v>
      </c>
    </row>
    <row r="151" ht="16.5" customHeight="1">
      <c r="C151" s="184" t="s">
        <v>2470</v>
      </c>
    </row>
    <row r="152" ht="16.5" customHeight="1">
      <c r="C152" s="184" t="s">
        <v>2471</v>
      </c>
    </row>
    <row r="153" ht="16.5" customHeight="1">
      <c r="C153" s="184" t="s">
        <v>2472</v>
      </c>
    </row>
    <row r="154" ht="15" customHeight="1">
      <c r="C154" s="184">
        <v>0</v>
      </c>
    </row>
    <row r="155" ht="16.5" customHeight="1">
      <c r="C155" s="184" t="s">
        <v>2473</v>
      </c>
    </row>
    <row r="156" ht="16.5" customHeight="1">
      <c r="C156" s="184" t="s">
        <v>2474</v>
      </c>
    </row>
    <row r="157" ht="16.5" customHeight="1">
      <c r="C157" s="184" t="s">
        <v>2475</v>
      </c>
    </row>
    <row r="158" ht="16.5" customHeight="1">
      <c r="C158" s="184" t="s">
        <v>2476</v>
      </c>
    </row>
    <row r="159" ht="15" customHeight="1">
      <c r="C159" s="184">
        <v>0</v>
      </c>
    </row>
    <row r="160" ht="16.5" customHeight="1">
      <c r="C160" s="184" t="s">
        <v>2477</v>
      </c>
    </row>
    <row r="163" ht="13.5" customHeight="1">
      <c r="B163" s="531" t="s">
        <v>2478</v>
      </c>
      <c r="C163" s="532"/>
      <c r="D163" s="532"/>
      <c r="E163" s="532"/>
      <c r="F163" s="532"/>
      <c r="G163" s="532"/>
      <c r="H163" s="532"/>
      <c r="I163" s="532"/>
      <c r="J163" s="532"/>
      <c r="K163" s="532"/>
    </row>
    <row r="164" ht="16.5" customHeight="1">
      <c r="B164" s="474" t="s">
        <v>2446</v>
      </c>
      <c r="C164" s="184" t="s">
        <v>2479</v>
      </c>
      <c r="J164" s="520" t="str">
        <f>HYPERLINK("mailto:jmartinez@company.com;rkim@company.com;athompson@company.com;lwong@company.com?subject=[L3 CRITICAL] Immediate Action - Occupancy Breach&amp;body=🔴 CRITICAL ALERT - Immediate Response Required%0A%0ABREACH DETAILS:%0A• Metric: Portfolio Occupancy%0A• Current: 91.2%25 (Threshold: 92%25)%0A• Impact: ~$15K/month revenue at risk%0A%0AIMMEDIATE ACTIONS:%0A1. Emergency leasing sprint%0A2. Review pricing strategy%0A3. Authorize concessions","📧 Generate L3 Email")</f>
        <v>📧 Generate L3 Email</v>
      </c>
    </row>
    <row r="165" ht="16.5" customHeight="1">
      <c r="B165" s="474" t="s">
        <v>2449</v>
      </c>
      <c r="C165" s="184" t="s">
        <v>2481</v>
      </c>
    </row>
    <row r="166" ht="12.75" customHeight="1">
      <c r="B166" s="474" t="s">
        <v>2451</v>
      </c>
    </row>
    <row r="167" ht="16.5" customHeight="1">
      <c r="C167" s="184" t="s">
        <v>2482</v>
      </c>
    </row>
    <row r="168" ht="16.5" customHeight="1">
      <c r="C168" s="184" t="s">
        <v>2483</v>
      </c>
    </row>
    <row r="169" ht="15" customHeight="1">
      <c r="C169" s="184">
        <v>0</v>
      </c>
    </row>
    <row r="170" ht="16.5" customHeight="1">
      <c r="C170" s="184" t="s">
        <v>2484</v>
      </c>
    </row>
    <row r="171" ht="16.5" customHeight="1">
      <c r="C171" s="184" t="s">
        <v>2485</v>
      </c>
    </row>
    <row r="172" ht="16.5" customHeight="1">
      <c r="C172" s="184" t="s">
        <v>2486</v>
      </c>
    </row>
    <row r="173" ht="16.5" customHeight="1">
      <c r="C173" s="184" t="s">
        <v>2487</v>
      </c>
    </row>
    <row r="174" ht="16.5" customHeight="1">
      <c r="C174" s="184" t="s">
        <v>2488</v>
      </c>
    </row>
    <row r="175" ht="16.5" customHeight="1">
      <c r="C175" s="184" t="s">
        <v>2489</v>
      </c>
    </row>
    <row r="176" ht="15" customHeight="1">
      <c r="C176" s="184">
        <v>0</v>
      </c>
    </row>
    <row r="177" ht="16.5" customHeight="1">
      <c r="C177" s="184" t="s">
        <v>2490</v>
      </c>
    </row>
    <row r="178" ht="16.5" customHeight="1">
      <c r="C178" s="184" t="s">
        <v>2491</v>
      </c>
    </row>
    <row r="179" ht="16.5" customHeight="1">
      <c r="C179" s="184" t="s">
        <v>2492</v>
      </c>
    </row>
    <row r="180" ht="15" customHeight="1">
      <c r="C180" s="184">
        <v>0</v>
      </c>
    </row>
    <row r="181" ht="16.5" customHeight="1">
      <c r="C181" s="184" t="s">
        <v>2493</v>
      </c>
    </row>
    <row r="182" ht="16.5" customHeight="1">
      <c r="C182" s="184" t="s">
        <v>2494</v>
      </c>
    </row>
    <row r="183" ht="16.5" customHeight="1">
      <c r="C183" s="184" t="s">
        <v>2495</v>
      </c>
    </row>
    <row r="184" ht="16.5" customHeight="1">
      <c r="C184" s="184" t="s">
        <v>2496</v>
      </c>
    </row>
    <row r="185" ht="15" customHeight="1">
      <c r="C185" s="184">
        <v>0</v>
      </c>
    </row>
    <row r="186" ht="16.5" customHeight="1">
      <c r="C186" s="184" t="s">
        <v>2497</v>
      </c>
    </row>
    <row r="188" ht="13.5" customHeight="1">
      <c r="B188" s="533" t="s">
        <v>2498</v>
      </c>
      <c r="C188" s="534"/>
      <c r="D188" s="534"/>
      <c r="E188" s="534"/>
      <c r="F188" s="534"/>
      <c r="G188" s="534"/>
      <c r="H188" s="534"/>
      <c r="I188" s="534"/>
      <c r="J188" s="534"/>
      <c r="K188" s="534"/>
    </row>
    <row r="189" ht="16.5" customHeight="1">
      <c r="B189" s="474" t="s">
        <v>2446</v>
      </c>
      <c r="C189" s="184" t="s">
        <v>2499</v>
      </c>
      <c r="J189" s="519" t="str">
        <f>HYPERLINK("mailto:mchen@company.com;swilliams@company.com;dpark@company.com?subject=[L4 EXECUTIVE] URGENT: DSCR Covenant Breach - Board Notification Required&amp;body=🚨 EXECUTIVE ALERT - IMMEDIATE BOARD NOTIFICATION%0A%0ACOVENANT BREACH:%0A• DSCR Required: ≥1.20x%0A• Current: 1.18x (-1.7%25)%0A• Cure Period: 30 days%0A%0AACTIONS TAKEN:%0A1. Lender call scheduled 10AM%0A2. Capital freeze implemented%0A3. Cure plan in development%0A%0AREQUIRED DECISIONS:%0A□ Approve lender communication%0A□ Authorize capital reallocation%0A□ Board notification timing","📧 Generate L4 Email")</f>
        <v>📧 Generate L4 Email</v>
      </c>
    </row>
    <row r="190" ht="16.5" customHeight="1">
      <c r="B190" s="474" t="s">
        <v>2449</v>
      </c>
      <c r="C190" s="184" t="s">
        <v>2501</v>
      </c>
    </row>
    <row r="191" ht="12.75" customHeight="1">
      <c r="B191" s="474" t="s">
        <v>2451</v>
      </c>
    </row>
    <row r="192" ht="16.5" customHeight="1">
      <c r="C192" s="184" t="s">
        <v>2502</v>
      </c>
    </row>
    <row r="193" ht="16.5" customHeight="1">
      <c r="C193" s="184" t="s">
        <v>2503</v>
      </c>
    </row>
    <row r="194" ht="15" customHeight="1">
      <c r="C194" s="184">
        <v>0</v>
      </c>
    </row>
    <row r="195" ht="16.5" customHeight="1">
      <c r="C195" s="184" t="s">
        <v>2504</v>
      </c>
    </row>
    <row r="196" ht="15" customHeight="1">
      <c r="C196" s="184">
        <v>0</v>
      </c>
    </row>
    <row r="197" ht="16.5" customHeight="1">
      <c r="C197" s="184" t="s">
        <v>2505</v>
      </c>
    </row>
    <row r="198" ht="16.5" customHeight="1">
      <c r="C198" s="184" t="s">
        <v>2506</v>
      </c>
    </row>
    <row r="199" ht="15" customHeight="1">
      <c r="C199" s="184">
        <v>0</v>
      </c>
    </row>
    <row r="200" ht="16.5" customHeight="1">
      <c r="C200" s="184" t="s">
        <v>2484</v>
      </c>
    </row>
    <row r="201" ht="16.5" customHeight="1">
      <c r="C201" s="184" t="s">
        <v>2507</v>
      </c>
    </row>
    <row r="202" ht="16.5" customHeight="1">
      <c r="C202" s="184" t="s">
        <v>2508</v>
      </c>
    </row>
    <row r="203" ht="16.5" customHeight="1">
      <c r="C203" s="184" t="s">
        <v>2509</v>
      </c>
    </row>
    <row r="204" ht="16.5" customHeight="1">
      <c r="C204" s="184" t="s">
        <v>2510</v>
      </c>
    </row>
    <row r="205" ht="16.5" customHeight="1">
      <c r="C205" s="184" t="s">
        <v>2511</v>
      </c>
    </row>
    <row r="206" ht="15" customHeight="1">
      <c r="C206" s="184">
        <v>0</v>
      </c>
    </row>
    <row r="207" ht="16.5" customHeight="1">
      <c r="C207" s="184" t="s">
        <v>2512</v>
      </c>
    </row>
    <row r="208" ht="16.5" customHeight="1">
      <c r="C208" s="184" t="s">
        <v>2513</v>
      </c>
    </row>
    <row r="209" ht="16.5" customHeight="1">
      <c r="C209" s="184" t="s">
        <v>2514</v>
      </c>
    </row>
    <row r="210" ht="16.5" customHeight="1">
      <c r="C210" s="184" t="s">
        <v>2515</v>
      </c>
    </row>
    <row r="211" ht="15" customHeight="1">
      <c r="C211" s="184">
        <v>0</v>
      </c>
    </row>
    <row r="212" ht="16.5" customHeight="1">
      <c r="C212" s="184" t="s">
        <v>2516</v>
      </c>
    </row>
    <row r="213" ht="16.5" customHeight="1">
      <c r="C213" s="184" t="s">
        <v>2517</v>
      </c>
    </row>
    <row r="214" ht="16.5" customHeight="1">
      <c r="C214" s="184" t="s">
        <v>2518</v>
      </c>
    </row>
    <row r="215" ht="16.5" customHeight="1">
      <c r="C215" s="184" t="s">
        <v>2519</v>
      </c>
    </row>
    <row r="216" ht="15" customHeight="1">
      <c r="C216" s="184">
        <v>0</v>
      </c>
    </row>
    <row r="217" ht="16.5" customHeight="1">
      <c r="C217" s="184" t="s">
        <v>2520</v>
      </c>
    </row>
    <row r="218" ht="16.5" customHeight="1">
      <c r="C218" s="184" t="s">
        <v>2521</v>
      </c>
    </row>
    <row r="219" ht="16.5" customHeight="1">
      <c r="C219" s="184" t="s">
        <v>2522</v>
      </c>
    </row>
    <row r="220" ht="16.5" customHeight="1">
      <c r="C220" s="184" t="s">
        <v>2523</v>
      </c>
    </row>
    <row r="221" ht="15" customHeight="1">
      <c r="C221" s="184">
        <v>0</v>
      </c>
    </row>
    <row r="222" ht="16.5" customHeight="1">
      <c r="C222" s="184" t="s">
        <v>2524</v>
      </c>
    </row>
    <row r="225" ht="13.5" customHeight="1">
      <c r="B225" s="535" t="s">
        <v>2525</v>
      </c>
      <c r="C225" s="536"/>
      <c r="D225" s="536"/>
      <c r="E225" s="536"/>
      <c r="F225" s="536"/>
      <c r="G225" s="536"/>
      <c r="H225" s="536"/>
      <c r="I225" s="536"/>
      <c r="J225" s="536"/>
      <c r="K225" s="536"/>
    </row>
    <row r="226" ht="12.75" customHeight="1">
      <c r="B226" s="537" t="s">
        <v>19</v>
      </c>
      <c r="C226" s="537" t="s">
        <v>115</v>
      </c>
      <c r="D226" s="537" t="s">
        <v>114</v>
      </c>
      <c r="E226" s="537" t="s">
        <v>23</v>
      </c>
      <c r="F226" s="537" t="s">
        <v>2526</v>
      </c>
    </row>
    <row r="227" ht="16.5" customHeight="1">
      <c r="B227" s="184" t="s">
        <v>2166</v>
      </c>
      <c r="C227" s="184" t="s">
        <v>2236</v>
      </c>
      <c r="D227" s="184" t="s">
        <v>2527</v>
      </c>
      <c r="E227" s="511" t="s">
        <v>2528</v>
      </c>
      <c r="F227" s="184" t="s">
        <v>2529</v>
      </c>
    </row>
    <row r="228" ht="16.5" customHeight="1">
      <c r="B228" s="184" t="s">
        <v>9</v>
      </c>
      <c r="C228" s="184" t="s">
        <v>2251</v>
      </c>
      <c r="D228" s="184" t="s">
        <v>2530</v>
      </c>
      <c r="E228" s="511" t="s">
        <v>2531</v>
      </c>
      <c r="F228" s="184" t="s">
        <v>2532</v>
      </c>
    </row>
    <row r="229" ht="16.5" customHeight="1">
      <c r="B229" s="184" t="s">
        <v>256</v>
      </c>
      <c r="C229" s="184" t="s">
        <v>2223</v>
      </c>
      <c r="D229" s="184" t="s">
        <v>2222</v>
      </c>
      <c r="E229" s="512" t="s">
        <v>2533</v>
      </c>
      <c r="F229" s="184" t="s">
        <v>2534</v>
      </c>
    </row>
    <row r="230" ht="16.5" customHeight="1">
      <c r="B230" s="184" t="s">
        <v>31</v>
      </c>
      <c r="C230" s="184" t="s">
        <v>2254</v>
      </c>
      <c r="D230" s="184" t="s">
        <v>2535</v>
      </c>
      <c r="E230" s="512" t="s">
        <v>2533</v>
      </c>
      <c r="F230" s="184" t="s">
        <v>2534</v>
      </c>
    </row>
    <row r="231" ht="16.5" customHeight="1">
      <c r="B231" s="184" t="s">
        <v>2536</v>
      </c>
      <c r="C231" s="184" t="s">
        <v>2266</v>
      </c>
      <c r="D231" s="184" t="s">
        <v>2265</v>
      </c>
      <c r="E231" s="512" t="s">
        <v>2533</v>
      </c>
      <c r="F231" s="184" t="s">
        <v>2537</v>
      </c>
    </row>
    <row r="232" ht="16.5" customHeight="1">
      <c r="B232" s="184" t="s">
        <v>2187</v>
      </c>
      <c r="C232" s="184">
        <v>9.2</v>
      </c>
      <c r="D232" s="184" t="s">
        <v>2538</v>
      </c>
      <c r="E232" s="512" t="s">
        <v>2533</v>
      </c>
      <c r="F232" s="184" t="s">
        <v>2537</v>
      </c>
    </row>
    <row r="233" ht="16.5" customHeight="1">
      <c r="B233" s="184" t="s">
        <v>224</v>
      </c>
      <c r="C233" s="184" t="s">
        <v>2240</v>
      </c>
      <c r="D233" s="184" t="s">
        <v>2239</v>
      </c>
      <c r="E233" s="512" t="s">
        <v>2533</v>
      </c>
      <c r="F233" s="184" t="s">
        <v>2534</v>
      </c>
    </row>
    <row r="234" ht="16.5" customHeight="1">
      <c r="B234" s="184" t="s">
        <v>2539</v>
      </c>
      <c r="C234" s="184" t="s">
        <v>2278</v>
      </c>
      <c r="D234" s="184" t="s">
        <v>2222</v>
      </c>
      <c r="E234" s="512" t="s">
        <v>2533</v>
      </c>
      <c r="F234" s="184" t="s">
        <v>2534</v>
      </c>
    </row>
  </sheetData>
  <hyperlinks>
    <hyperlink ref="B12" r:id="rId1" display="FIN_07 →"/>
    <hyperlink ref="B13" r:id="rId2" display="OPS_11 →"/>
    <hyperlink ref="B18" r:id="rId3" display="FIN_04 →"/>
    <hyperlink ref="B19" r:id="rId4" display="MKT_16 →"/>
    <hyperlink ref="B20" r:id="rId5" display="OPS_13 →"/>
    <hyperlink ref="B21" r:id="rId6" display="OPS_12 →"/>
    <hyperlink ref="B22" r:id="rId7" display="FIN_08 →"/>
    <hyperlink ref="B23" r:id="rId8" display="DEV_19 →"/>
    <hyperlink ref="C28" r:id="rId9" display="FIN_01 →"/>
    <hyperlink ref="C29" r:id="rId10" display="FIN_02 →"/>
    <hyperlink ref="C30" r:id="rId11" display="FIN_03 →"/>
    <hyperlink ref="C31" r:id="rId12" display="FIN_04 →"/>
    <hyperlink ref="C32" r:id="rId13" display="FIN_05 →"/>
    <hyperlink ref="C33" r:id="rId14" display="FIN_06 →"/>
    <hyperlink ref="C34" r:id="rId15" display="FIN_07 →"/>
    <hyperlink ref="C35" r:id="rId16" display="FIN_08 →"/>
    <hyperlink ref="C36" r:id="rId17" display="OPS_09 →"/>
    <hyperlink ref="C37" r:id="rId18" display="OPS_10 →"/>
    <hyperlink ref="C38" r:id="rId19" display="OPS_11 →"/>
    <hyperlink ref="C39" r:id="rId20" display="OPS_12 →"/>
    <hyperlink ref="C40" r:id="rId21" display="OPS_13 →"/>
    <hyperlink ref="C41" r:id="rId22" display="OPS_14 →"/>
    <hyperlink ref="C42" r:id="rId23" display="OPS_15 →"/>
    <hyperlink ref="C43" r:id="rId24" display="MKT_16 →"/>
    <hyperlink ref="C44" r:id="rId25" display="MKT_17 →"/>
    <hyperlink ref="C45" r:id="rId26" display="DEV_18 →"/>
    <hyperlink ref="C46" r:id="rId27" display="DEV_19 →"/>
    <hyperlink ref="C47" r:id="rId28" display="DEV_20 →"/>
    <hyperlink ref="C48" r:id="rId29" display="CAP_21 →"/>
    <hyperlink ref="C49" r:id="rId30" display="ESG_22 →"/>
    <hyperlink ref="B108" r:id="rId31" display="📧 Email All Executives"/>
    <hyperlink ref="D108" r:id="rId32" display="📧 Email All Directors"/>
    <hyperlink ref="F108" r:id="rId33" display="📧 Email All Managers"/>
    <hyperlink ref="B110" r:id="rId34" display="📧 DSCR Breach → CFO"/>
    <hyperlink ref="D110" r:id="rId35" display="📧 Occupancy Alert → Ops"/>
    <hyperlink ref="J125" r:id="rId36" display="📧 Generate L1 Email"/>
    <hyperlink ref="J142" r:id="rId37" display="📧 Generate L2 Email"/>
    <hyperlink ref="J164" r:id="rId38" display="📧 Generate L3 Email"/>
    <hyperlink ref="J189" r:id="rId39" display="📧 Generate L4 Email"/>
  </hyperlink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CDBE7A8-069D-1D7D-FCDD-9E9BF38B522B}" mc:Ignorable="x14ac xr xr2 xr3">
  <dimension ref="A1:GR50000"/>
  <sheetViews>
    <sheetView topLeftCell="A1" workbookViewId="0">
      <selection activeCell="A1" sqref="A1"/>
    </sheetView>
  </sheetViews>
  <sheetFormatPr defaultRowHeight="15" defaultColWidth="7.75390625" customHeight="1"/>
  <cols>
    <col min="2" max="2" width="66.375" customWidth="1"/>
    <col min="3" max="3" width="42.125" customWidth="1"/>
    <col min="4" max="4" width="11.375" customWidth="1"/>
    <col min="5" max="5" width="10.25390625" customWidth="1"/>
    <col min="6" max="6" width="11.50390625" customWidth="1"/>
    <col min="7" max="7" width="9.125" customWidth="1"/>
    <col min="8" max="9" width="9.00390625" customWidth="1"/>
    <col min="10" max="10" width="15.50390625" customWidth="1"/>
    <col min="11" max="11" width="22.875" customWidth="1"/>
    <col min="12" max="12" width="9.50390625" customWidth="1"/>
    <col min="13" max="13" width="16.50390625" customWidth="1"/>
    <col min="14" max="14" width="9.00390625" customWidth="1"/>
    <col min="15" max="15" width="9.875" customWidth="1"/>
    <col min="16" max="16" width="7.125" customWidth="1"/>
  </cols>
  <sheetData>
    <row r="2" ht="21" customHeight="1">
      <c r="B2" s="472" t="s">
        <v>2540</v>
      </c>
    </row>
    <row r="3" ht="13.5" customHeight="1">
      <c r="B3" s="473" t="s">
        <v>2541</v>
      </c>
    </row>
    <row r="5" ht="15" customHeight="1">
      <c r="B5" s="165" t="s">
        <v>2542</v>
      </c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</row>
    <row r="6" ht="12.75" customHeight="1">
      <c r="B6" s="474" t="s">
        <v>210</v>
      </c>
      <c r="D6" s="474" t="s">
        <v>2543</v>
      </c>
      <c r="F6" s="474" t="s">
        <v>2544</v>
      </c>
      <c r="H6" s="474" t="s">
        <v>1963</v>
      </c>
      <c r="J6" s="474" t="s">
        <v>366</v>
      </c>
      <c r="L6" s="474" t="s">
        <v>31</v>
      </c>
    </row>
    <row r="7" ht="23.25" customHeight="1">
      <c r="B7" s="538">
        <v>248</v>
      </c>
      <c r="D7" s="539">
        <v>156</v>
      </c>
      <c r="F7" s="540">
        <v>23</v>
      </c>
      <c r="H7" s="541">
        <v>42</v>
      </c>
      <c r="J7" s="542">
        <v>91</v>
      </c>
      <c r="L7" s="543" t="s">
        <v>2254</v>
      </c>
    </row>
    <row r="10" ht="15" customHeight="1">
      <c r="B10" s="492" t="s">
        <v>2545</v>
      </c>
      <c r="C10" s="158"/>
      <c r="D10" s="158"/>
      <c r="E10" s="158"/>
      <c r="F10" s="158"/>
      <c r="G10" s="158"/>
      <c r="H10" s="158"/>
      <c r="I10" s="158"/>
      <c r="J10" s="158"/>
      <c r="K10" s="158"/>
      <c r="L10" s="158"/>
      <c r="M10" s="158"/>
      <c r="N10" s="158"/>
    </row>
    <row r="11" ht="12.75" customHeight="1">
      <c r="B11" s="537" t="s">
        <v>41</v>
      </c>
      <c r="C11" s="544" t="s">
        <v>339</v>
      </c>
      <c r="D11" s="544" t="s">
        <v>341</v>
      </c>
      <c r="E11" s="544" t="s">
        <v>344</v>
      </c>
      <c r="F11" s="544" t="s">
        <v>1791</v>
      </c>
      <c r="G11" s="544" t="s">
        <v>1793</v>
      </c>
      <c r="H11" s="544" t="s">
        <v>1795</v>
      </c>
      <c r="I11" s="544" t="s">
        <v>1797</v>
      </c>
      <c r="J11" s="544" t="s">
        <v>1799</v>
      </c>
      <c r="K11" s="544" t="s">
        <v>1801</v>
      </c>
      <c r="L11" s="544" t="s">
        <v>1803</v>
      </c>
      <c r="M11" s="544" t="s">
        <v>1805</v>
      </c>
      <c r="N11" s="544" t="s">
        <v>1807</v>
      </c>
      <c r="O11" s="544" t="s">
        <v>2074</v>
      </c>
      <c r="P11" s="544" t="s">
        <v>2546</v>
      </c>
    </row>
    <row r="12" ht="15.75" customHeight="1">
      <c r="B12" s="184" t="s">
        <v>44</v>
      </c>
      <c r="C12" s="389">
        <v>3</v>
      </c>
      <c r="D12" s="389">
        <v>2</v>
      </c>
      <c r="E12" s="389">
        <v>4</v>
      </c>
      <c r="F12" s="389">
        <v>3</v>
      </c>
      <c r="G12" s="389">
        <v>2</v>
      </c>
      <c r="H12" s="389">
        <v>3</v>
      </c>
      <c r="I12" s="389">
        <v>2</v>
      </c>
      <c r="J12" s="389">
        <v>4</v>
      </c>
      <c r="K12" s="389">
        <v>3</v>
      </c>
      <c r="L12" s="389">
        <v>2</v>
      </c>
      <c r="M12" s="389">
        <v>3</v>
      </c>
      <c r="N12" s="389">
        <v>2</v>
      </c>
      <c r="O12" s="389">
        <f t="shared" si="0" ref="O12:O46">SUM(C12:N12)</f>
        <v>33</v>
      </c>
      <c r="P12" s="545">
        <v>0.72</v>
      </c>
    </row>
    <row r="13" ht="15.75" customHeight="1">
      <c r="B13" s="184" t="s">
        <v>2547</v>
      </c>
      <c r="C13" s="389">
        <v>5</v>
      </c>
      <c r="D13" s="389">
        <v>4</v>
      </c>
      <c r="E13" s="389">
        <v>6</v>
      </c>
      <c r="F13" s="389">
        <v>5</v>
      </c>
      <c r="G13" s="389">
        <v>4</v>
      </c>
      <c r="H13" s="389">
        <v>5</v>
      </c>
      <c r="I13" s="389">
        <v>4</v>
      </c>
      <c r="J13" s="389">
        <v>6</v>
      </c>
      <c r="K13" s="389">
        <v>5</v>
      </c>
      <c r="L13" s="389">
        <v>4</v>
      </c>
      <c r="M13" s="389">
        <v>5</v>
      </c>
      <c r="N13" s="389">
        <v>4</v>
      </c>
      <c r="O13" s="389">
        <f t="shared" si="0"/>
        <v>57</v>
      </c>
      <c r="P13" s="545">
        <v>0.68</v>
      </c>
    </row>
    <row r="14" ht="15.75" customHeight="1">
      <c r="B14" s="184" t="s">
        <v>2548</v>
      </c>
      <c r="C14" s="389">
        <v>2</v>
      </c>
      <c r="D14" s="389">
        <v>1</v>
      </c>
      <c r="E14" s="389">
        <v>2</v>
      </c>
      <c r="F14" s="389">
        <v>2</v>
      </c>
      <c r="G14" s="389">
        <v>1</v>
      </c>
      <c r="H14" s="389">
        <v>2</v>
      </c>
      <c r="I14" s="389">
        <v>1</v>
      </c>
      <c r="J14" s="389">
        <v>2</v>
      </c>
      <c r="K14" s="389">
        <v>2</v>
      </c>
      <c r="L14" s="389">
        <v>1</v>
      </c>
      <c r="M14" s="389">
        <v>2</v>
      </c>
      <c r="N14" s="389">
        <v>1</v>
      </c>
      <c r="O14" s="389">
        <f t="shared" si="0"/>
        <v>19</v>
      </c>
      <c r="P14" s="545">
        <v>0.59</v>
      </c>
    </row>
    <row r="15" ht="15.75" customHeight="1">
      <c r="B15" s="184" t="s">
        <v>2549</v>
      </c>
      <c r="C15" s="389">
        <v>3</v>
      </c>
      <c r="D15" s="389">
        <v>2</v>
      </c>
      <c r="E15" s="389">
        <v>3</v>
      </c>
      <c r="F15" s="389">
        <v>2</v>
      </c>
      <c r="G15" s="389">
        <v>3</v>
      </c>
      <c r="H15" s="389">
        <v>2</v>
      </c>
      <c r="I15" s="389">
        <v>3</v>
      </c>
      <c r="J15" s="389">
        <v>2</v>
      </c>
      <c r="K15" s="389">
        <v>3</v>
      </c>
      <c r="L15" s="389">
        <v>2</v>
      </c>
      <c r="M15" s="389">
        <v>3</v>
      </c>
      <c r="N15" s="389">
        <v>2</v>
      </c>
      <c r="O15" s="389">
        <f t="shared" si="0"/>
        <v>30</v>
      </c>
      <c r="P15" s="545">
        <v>0.63</v>
      </c>
    </row>
    <row r="16" ht="15.75" customHeight="1">
      <c r="B16" s="184" t="s">
        <v>2550</v>
      </c>
      <c r="C16" s="389">
        <v>2</v>
      </c>
      <c r="D16" s="389">
        <v>2</v>
      </c>
      <c r="E16" s="389">
        <v>1</v>
      </c>
      <c r="F16" s="389">
        <v>2</v>
      </c>
      <c r="G16" s="389">
        <v>2</v>
      </c>
      <c r="H16" s="389">
        <v>1</v>
      </c>
      <c r="I16" s="389">
        <v>2</v>
      </c>
      <c r="J16" s="389">
        <v>2</v>
      </c>
      <c r="K16" s="389">
        <v>1</v>
      </c>
      <c r="L16" s="389">
        <v>2</v>
      </c>
      <c r="M16" s="389">
        <v>2</v>
      </c>
      <c r="N16" s="389">
        <v>1</v>
      </c>
      <c r="O16" s="389">
        <f t="shared" si="0"/>
        <v>20</v>
      </c>
      <c r="P16" s="545">
        <v>0.56</v>
      </c>
    </row>
    <row r="17" ht="15.75" customHeight="1">
      <c r="B17" s="184" t="s">
        <v>2551</v>
      </c>
      <c r="C17" s="389">
        <v>1</v>
      </c>
      <c r="D17" s="389">
        <v>1</v>
      </c>
      <c r="E17" s="389">
        <v>0</v>
      </c>
      <c r="F17" s="389">
        <v>1</v>
      </c>
      <c r="G17" s="389">
        <v>1</v>
      </c>
      <c r="H17" s="389">
        <v>1</v>
      </c>
      <c r="I17" s="389">
        <v>0</v>
      </c>
      <c r="J17" s="389">
        <v>1</v>
      </c>
      <c r="K17" s="389">
        <v>1</v>
      </c>
      <c r="L17" s="389">
        <v>1</v>
      </c>
      <c r="M17" s="389">
        <v>0</v>
      </c>
      <c r="N17" s="389">
        <v>1</v>
      </c>
      <c r="O17" s="389">
        <f t="shared" si="0"/>
        <v>9</v>
      </c>
      <c r="P17" s="545">
        <v>0.45</v>
      </c>
    </row>
    <row r="18" ht="15.75" customHeight="1">
      <c r="B18" s="184" t="s">
        <v>2552</v>
      </c>
      <c r="C18" s="389">
        <v>0</v>
      </c>
      <c r="D18" s="389">
        <v>1</v>
      </c>
      <c r="E18" s="389">
        <v>1</v>
      </c>
      <c r="F18" s="389">
        <v>0</v>
      </c>
      <c r="G18" s="389">
        <v>1</v>
      </c>
      <c r="H18" s="389">
        <v>1</v>
      </c>
      <c r="I18" s="389">
        <v>0</v>
      </c>
      <c r="J18" s="389">
        <v>1</v>
      </c>
      <c r="K18" s="389">
        <v>1</v>
      </c>
      <c r="L18" s="389">
        <v>0</v>
      </c>
      <c r="M18" s="389">
        <v>1</v>
      </c>
      <c r="N18" s="389">
        <v>1</v>
      </c>
      <c r="O18" s="389">
        <f t="shared" si="0"/>
        <v>8</v>
      </c>
      <c r="P18" s="545">
        <v>0.5</v>
      </c>
    </row>
    <row r="19" ht="13.5" customHeight="1">
      <c r="B19" s="187" t="s">
        <v>1637</v>
      </c>
      <c r="C19" s="546">
        <f t="shared" si="1" ref="C19:O19">SUM(C12:C18)</f>
        <v>16</v>
      </c>
      <c r="D19" s="546">
        <f t="shared" si="1"/>
        <v>13</v>
      </c>
      <c r="E19" s="546">
        <f t="shared" si="1"/>
        <v>17</v>
      </c>
      <c r="F19" s="546">
        <f t="shared" si="1"/>
        <v>15</v>
      </c>
      <c r="G19" s="546">
        <f t="shared" si="1"/>
        <v>14</v>
      </c>
      <c r="H19" s="546">
        <f t="shared" si="1"/>
        <v>15</v>
      </c>
      <c r="I19" s="546">
        <f t="shared" si="1"/>
        <v>12</v>
      </c>
      <c r="J19" s="546">
        <f t="shared" si="1"/>
        <v>18</v>
      </c>
      <c r="K19" s="546">
        <f t="shared" si="1"/>
        <v>16</v>
      </c>
      <c r="L19" s="546">
        <f t="shared" si="1"/>
        <v>12</v>
      </c>
      <c r="M19" s="546">
        <f t="shared" si="1"/>
        <v>16</v>
      </c>
      <c r="N19" s="546">
        <f t="shared" si="1"/>
        <v>12</v>
      </c>
      <c r="O19" s="546">
        <f t="shared" si="1"/>
        <v>176</v>
      </c>
      <c r="P19" s="547">
        <f>O19/248</f>
        <v>0.709677419354839</v>
      </c>
    </row>
    <row r="22" ht="15" customHeight="1">
      <c r="B22" s="504" t="s">
        <v>2553</v>
      </c>
      <c r="C22" s="505"/>
      <c r="D22" s="505"/>
      <c r="E22" s="505"/>
      <c r="F22" s="505"/>
      <c r="G22" s="505"/>
      <c r="H22" s="505"/>
      <c r="I22" s="505"/>
      <c r="J22" s="505"/>
      <c r="K22" s="505"/>
      <c r="L22" s="505"/>
      <c r="M22" s="505"/>
      <c r="N22" s="505"/>
    </row>
    <row r="23" ht="12.75" customHeight="1">
      <c r="B23" s="518" t="s">
        <v>23</v>
      </c>
      <c r="C23" s="548" t="s">
        <v>339</v>
      </c>
      <c r="D23" s="548" t="s">
        <v>341</v>
      </c>
      <c r="E23" s="548" t="s">
        <v>344</v>
      </c>
      <c r="F23" s="548" t="s">
        <v>1791</v>
      </c>
      <c r="G23" s="548" t="s">
        <v>1793</v>
      </c>
      <c r="H23" s="548" t="s">
        <v>1795</v>
      </c>
      <c r="I23" s="548" t="s">
        <v>1797</v>
      </c>
      <c r="J23" s="548" t="s">
        <v>1799</v>
      </c>
      <c r="K23" s="548" t="s">
        <v>1801</v>
      </c>
      <c r="L23" s="548" t="s">
        <v>1803</v>
      </c>
      <c r="M23" s="548" t="s">
        <v>1805</v>
      </c>
      <c r="N23" s="548" t="s">
        <v>1807</v>
      </c>
      <c r="O23" s="548" t="s">
        <v>2074</v>
      </c>
    </row>
    <row r="24" ht="15.75" customHeight="1">
      <c r="B24" s="500" t="s">
        <v>2554</v>
      </c>
      <c r="C24" s="549">
        <v>8</v>
      </c>
      <c r="D24" s="549">
        <v>6</v>
      </c>
      <c r="E24" s="549">
        <v>0</v>
      </c>
      <c r="F24" s="549">
        <v>0</v>
      </c>
      <c r="G24" s="549">
        <v>0</v>
      </c>
      <c r="H24" s="549">
        <v>0</v>
      </c>
      <c r="I24" s="549">
        <v>0</v>
      </c>
      <c r="J24" s="549">
        <v>0</v>
      </c>
      <c r="K24" s="549">
        <v>0</v>
      </c>
      <c r="L24" s="549">
        <v>0</v>
      </c>
      <c r="M24" s="549">
        <v>0</v>
      </c>
      <c r="N24" s="549">
        <v>0</v>
      </c>
      <c r="O24" s="549">
        <f t="shared" si="0"/>
        <v>14</v>
      </c>
    </row>
    <row r="25" ht="15.75" customHeight="1">
      <c r="B25" s="550" t="s">
        <v>2555</v>
      </c>
      <c r="C25" s="551">
        <v>5</v>
      </c>
      <c r="D25" s="551">
        <v>4</v>
      </c>
      <c r="E25" s="551">
        <v>12</v>
      </c>
      <c r="F25" s="551">
        <v>10</v>
      </c>
      <c r="G25" s="551">
        <v>9</v>
      </c>
      <c r="H25" s="551">
        <v>8</v>
      </c>
      <c r="I25" s="551">
        <v>7</v>
      </c>
      <c r="J25" s="551">
        <v>12</v>
      </c>
      <c r="K25" s="551">
        <v>10</v>
      </c>
      <c r="L25" s="551">
        <v>7</v>
      </c>
      <c r="M25" s="551">
        <v>9</v>
      </c>
      <c r="N25" s="551">
        <v>7</v>
      </c>
      <c r="O25" s="551">
        <f t="shared" si="0"/>
        <v>100</v>
      </c>
    </row>
    <row r="26" ht="15.75" customHeight="1">
      <c r="B26" s="501" t="s">
        <v>2556</v>
      </c>
      <c r="C26" s="552">
        <v>2</v>
      </c>
      <c r="D26" s="552">
        <v>2</v>
      </c>
      <c r="E26" s="552">
        <v>3</v>
      </c>
      <c r="F26" s="552">
        <v>3</v>
      </c>
      <c r="G26" s="552">
        <v>2</v>
      </c>
      <c r="H26" s="552">
        <v>3</v>
      </c>
      <c r="I26" s="552">
        <v>2</v>
      </c>
      <c r="J26" s="552">
        <v>3</v>
      </c>
      <c r="K26" s="552">
        <v>2</v>
      </c>
      <c r="L26" s="552">
        <v>2</v>
      </c>
      <c r="M26" s="552">
        <v>1</v>
      </c>
      <c r="N26" s="552">
        <v>1</v>
      </c>
      <c r="O26" s="552">
        <f t="shared" si="0"/>
        <v>26</v>
      </c>
    </row>
    <row r="27" ht="15.75" customHeight="1">
      <c r="B27" s="507" t="s">
        <v>2557</v>
      </c>
      <c r="C27" s="553">
        <v>1</v>
      </c>
      <c r="D27" s="553">
        <v>1</v>
      </c>
      <c r="E27" s="553">
        <v>2</v>
      </c>
      <c r="F27" s="553">
        <v>2</v>
      </c>
      <c r="G27" s="553">
        <v>2</v>
      </c>
      <c r="H27" s="553">
        <v>3</v>
      </c>
      <c r="I27" s="553">
        <v>1</v>
      </c>
      <c r="J27" s="553">
        <v>3</v>
      </c>
      <c r="K27" s="553">
        <v>3</v>
      </c>
      <c r="L27" s="553">
        <v>2</v>
      </c>
      <c r="M27" s="553">
        <v>2</v>
      </c>
      <c r="N27" s="553">
        <v>0</v>
      </c>
      <c r="O27" s="553">
        <f t="shared" si="0"/>
        <v>22</v>
      </c>
    </row>
    <row r="30" ht="15" customHeight="1">
      <c r="B30" s="486" t="s">
        <v>2558</v>
      </c>
      <c r="C30" s="487"/>
      <c r="D30" s="487"/>
      <c r="E30" s="487"/>
      <c r="F30" s="487"/>
      <c r="G30" s="487"/>
      <c r="H30" s="487"/>
      <c r="I30" s="487"/>
      <c r="J30" s="487"/>
      <c r="K30" s="487"/>
      <c r="L30" s="487"/>
      <c r="M30" s="487"/>
      <c r="N30" s="487"/>
      <c r="O30" s="487"/>
      <c r="P30" s="487"/>
    </row>
    <row r="31" ht="12.75" customHeight="1">
      <c r="B31" s="554" t="s">
        <v>1718</v>
      </c>
      <c r="C31" s="554" t="s">
        <v>2559</v>
      </c>
      <c r="D31" s="554" t="s">
        <v>41</v>
      </c>
      <c r="E31" s="554" t="s">
        <v>1720</v>
      </c>
      <c r="F31" s="554" t="s">
        <v>1722</v>
      </c>
      <c r="G31" s="554" t="s">
        <v>2560</v>
      </c>
      <c r="H31" s="554" t="s">
        <v>1724</v>
      </c>
      <c r="I31" s="554" t="s">
        <v>2561</v>
      </c>
      <c r="J31" s="554" t="s">
        <v>23</v>
      </c>
      <c r="K31" s="554" t="s">
        <v>2562</v>
      </c>
      <c r="L31" s="554" t="s">
        <v>2563</v>
      </c>
      <c r="M31" s="554" t="s">
        <v>118</v>
      </c>
    </row>
    <row r="32" ht="15.75" customHeight="1">
      <c r="B32" s="184">
        <v>101</v>
      </c>
      <c r="C32" s="184" t="s">
        <v>2564</v>
      </c>
      <c r="D32" s="184" t="s">
        <v>2547</v>
      </c>
      <c r="E32" s="184" t="s">
        <v>2565</v>
      </c>
      <c r="F32" s="184" t="s">
        <v>497</v>
      </c>
      <c r="G32" s="185">
        <v>1450</v>
      </c>
      <c r="H32" s="185">
        <v>1525</v>
      </c>
      <c r="I32" s="378">
        <f t="shared" si="2" ref="I32:I39">1-G32/H32</f>
        <v>0.0491803278688525</v>
      </c>
      <c r="J32" s="512" t="s">
        <v>2556</v>
      </c>
      <c r="K32" s="184" t="s">
        <v>444</v>
      </c>
      <c r="L32" s="184" t="s">
        <v>2566</v>
      </c>
      <c r="M32" s="184" t="s">
        <v>2567</v>
      </c>
    </row>
    <row r="33" ht="15.75" customHeight="1">
      <c r="B33" s="184">
        <v>205</v>
      </c>
      <c r="C33" s="184" t="s">
        <v>2564</v>
      </c>
      <c r="D33" s="184" t="s">
        <v>2550</v>
      </c>
      <c r="E33" s="184" t="s">
        <v>2568</v>
      </c>
      <c r="F33" s="184" t="s">
        <v>497</v>
      </c>
      <c r="G33" s="185">
        <v>1850</v>
      </c>
      <c r="H33" s="185">
        <v>1875</v>
      </c>
      <c r="I33" s="378">
        <f t="shared" si="2"/>
        <v>0.0133333333333333</v>
      </c>
      <c r="J33" s="513" t="s">
        <v>2554</v>
      </c>
      <c r="K33" s="184" t="s">
        <v>2569</v>
      </c>
      <c r="L33" s="184" t="s">
        <v>2570</v>
      </c>
      <c r="M33" s="184" t="s">
        <v>2571</v>
      </c>
    </row>
    <row r="34" ht="15.75" customHeight="1">
      <c r="B34" s="184">
        <v>312</v>
      </c>
      <c r="C34" s="184" t="s">
        <v>2572</v>
      </c>
      <c r="D34" s="184" t="s">
        <v>44</v>
      </c>
      <c r="E34" s="184" t="s">
        <v>2573</v>
      </c>
      <c r="F34" s="184" t="s">
        <v>493</v>
      </c>
      <c r="G34" s="185">
        <v>1150</v>
      </c>
      <c r="H34" s="185">
        <v>1200</v>
      </c>
      <c r="I34" s="378">
        <f t="shared" si="2"/>
        <v>0.0416666666666666</v>
      </c>
      <c r="J34" s="555" t="s">
        <v>2555</v>
      </c>
      <c r="K34" s="184" t="s">
        <v>437</v>
      </c>
      <c r="L34" s="184" t="s">
        <v>2574</v>
      </c>
      <c r="M34" s="184" t="s">
        <v>2575</v>
      </c>
    </row>
    <row r="35" ht="15.75" customHeight="1">
      <c r="B35" s="184">
        <v>118</v>
      </c>
      <c r="C35" s="184" t="s">
        <v>2564</v>
      </c>
      <c r="D35" s="184" t="s">
        <v>2548</v>
      </c>
      <c r="E35" s="184" t="s">
        <v>2576</v>
      </c>
      <c r="F35" s="184" t="s">
        <v>2577</v>
      </c>
      <c r="G35" s="185">
        <v>1625</v>
      </c>
      <c r="H35" s="185">
        <v>1700</v>
      </c>
      <c r="I35" s="378">
        <f t="shared" si="2"/>
        <v>0.0441176470588235</v>
      </c>
      <c r="J35" s="555" t="s">
        <v>2555</v>
      </c>
      <c r="K35" s="184" t="s">
        <v>450</v>
      </c>
      <c r="L35" s="184" t="s">
        <v>2578</v>
      </c>
      <c r="M35" s="184" t="s">
        <v>2579</v>
      </c>
    </row>
    <row r="36" ht="15.75" customHeight="1">
      <c r="B36" s="184">
        <v>421</v>
      </c>
      <c r="C36" s="184" t="s">
        <v>2580</v>
      </c>
      <c r="D36" s="184" t="s">
        <v>2549</v>
      </c>
      <c r="E36" s="184" t="s">
        <v>2581</v>
      </c>
      <c r="F36" s="184" t="s">
        <v>2577</v>
      </c>
      <c r="G36" s="185">
        <v>1550</v>
      </c>
      <c r="H36" s="185">
        <v>1600</v>
      </c>
      <c r="I36" s="378">
        <f t="shared" si="2"/>
        <v>0.03125</v>
      </c>
      <c r="J36" s="511" t="s">
        <v>2557</v>
      </c>
      <c r="K36" s="184" t="s">
        <v>2582</v>
      </c>
      <c r="L36" s="184" t="s">
        <v>2583</v>
      </c>
      <c r="M36" s="184" t="s">
        <v>2584</v>
      </c>
    </row>
    <row r="37" ht="15.75" customHeight="1">
      <c r="B37" s="184">
        <v>203</v>
      </c>
      <c r="C37" s="184" t="s">
        <v>2564</v>
      </c>
      <c r="D37" s="184" t="s">
        <v>2547</v>
      </c>
      <c r="E37" s="184" t="s">
        <v>2585</v>
      </c>
      <c r="F37" s="184" t="s">
        <v>2586</v>
      </c>
      <c r="G37" s="185">
        <v>1475</v>
      </c>
      <c r="H37" s="185">
        <v>1525</v>
      </c>
      <c r="I37" s="378">
        <f t="shared" si="2"/>
        <v>0.0327868852459017</v>
      </c>
      <c r="J37" s="555" t="s">
        <v>2555</v>
      </c>
      <c r="K37" s="184" t="s">
        <v>2587</v>
      </c>
      <c r="L37" s="184" t="s">
        <v>2588</v>
      </c>
      <c r="M37" s="184" t="s">
        <v>2589</v>
      </c>
    </row>
    <row r="38" ht="15.75" customHeight="1">
      <c r="B38" s="184">
        <v>509</v>
      </c>
      <c r="C38" s="184" t="s">
        <v>2580</v>
      </c>
      <c r="D38" s="184" t="s">
        <v>2551</v>
      </c>
      <c r="E38" s="184" t="s">
        <v>2590</v>
      </c>
      <c r="F38" s="184" t="s">
        <v>2591</v>
      </c>
      <c r="G38" s="185">
        <v>2100</v>
      </c>
      <c r="H38" s="185">
        <v>2200</v>
      </c>
      <c r="I38" s="378">
        <f t="shared" si="2"/>
        <v>0.0454545454545454</v>
      </c>
      <c r="J38" s="512" t="s">
        <v>2556</v>
      </c>
      <c r="K38" s="184" t="s">
        <v>2592</v>
      </c>
      <c r="L38" s="184" t="s">
        <v>2593</v>
      </c>
      <c r="M38" s="184" t="s">
        <v>2594</v>
      </c>
    </row>
    <row r="39" ht="15.75" customHeight="1">
      <c r="B39" s="184">
        <v>115</v>
      </c>
      <c r="C39" s="184" t="s">
        <v>2564</v>
      </c>
      <c r="D39" s="184" t="s">
        <v>44</v>
      </c>
      <c r="E39" s="184" t="s">
        <v>2595</v>
      </c>
      <c r="F39" s="184" t="s">
        <v>2591</v>
      </c>
      <c r="G39" s="185">
        <v>1125</v>
      </c>
      <c r="H39" s="185">
        <v>1200</v>
      </c>
      <c r="I39" s="378">
        <f t="shared" si="2"/>
        <v>0.0625</v>
      </c>
      <c r="J39" s="555" t="s">
        <v>2555</v>
      </c>
      <c r="K39" s="184" t="s">
        <v>2596</v>
      </c>
      <c r="L39" s="184" t="s">
        <v>2270</v>
      </c>
      <c r="M39" s="184" t="s">
        <v>2597</v>
      </c>
    </row>
    <row r="42" ht="15" customHeight="1">
      <c r="B42" s="480" t="s">
        <v>2598</v>
      </c>
      <c r="C42" s="481"/>
      <c r="D42" s="481"/>
      <c r="E42" s="481"/>
      <c r="F42" s="481"/>
      <c r="G42" s="481"/>
      <c r="H42" s="481"/>
      <c r="I42" s="481"/>
      <c r="J42" s="481"/>
      <c r="K42" s="481"/>
      <c r="L42" s="481"/>
      <c r="M42" s="481"/>
      <c r="N42" s="481"/>
    </row>
    <row r="43" ht="12.75" customHeight="1">
      <c r="B43" s="556" t="s">
        <v>2062</v>
      </c>
      <c r="C43" s="557" t="s">
        <v>339</v>
      </c>
      <c r="D43" s="557" t="s">
        <v>341</v>
      </c>
      <c r="E43" s="557" t="s">
        <v>344</v>
      </c>
      <c r="F43" s="557" t="s">
        <v>1791</v>
      </c>
      <c r="G43" s="557" t="s">
        <v>1793</v>
      </c>
      <c r="H43" s="557" t="s">
        <v>1795</v>
      </c>
      <c r="I43" s="557" t="s">
        <v>1797</v>
      </c>
      <c r="J43" s="557" t="s">
        <v>1799</v>
      </c>
      <c r="K43" s="557" t="s">
        <v>1801</v>
      </c>
      <c r="L43" s="557" t="s">
        <v>1803</v>
      </c>
      <c r="M43" s="557" t="s">
        <v>1805</v>
      </c>
      <c r="N43" s="557" t="s">
        <v>1807</v>
      </c>
      <c r="O43" s="557" t="s">
        <v>2074</v>
      </c>
    </row>
    <row r="44" ht="15.75" customHeight="1">
      <c r="B44" s="507" t="s">
        <v>2599</v>
      </c>
      <c r="C44" s="558">
        <v>4500</v>
      </c>
      <c r="D44" s="558">
        <v>3200</v>
      </c>
      <c r="E44" s="558">
        <v>5100</v>
      </c>
      <c r="F44" s="558">
        <v>4800</v>
      </c>
      <c r="G44" s="558">
        <v>3600</v>
      </c>
      <c r="H44" s="558">
        <v>4200</v>
      </c>
      <c r="I44" s="558">
        <v>3100</v>
      </c>
      <c r="J44" s="558">
        <v>4900</v>
      </c>
      <c r="K44" s="558">
        <v>3800</v>
      </c>
      <c r="L44" s="558">
        <v>3400</v>
      </c>
      <c r="M44" s="558">
        <v>2800</v>
      </c>
      <c r="N44" s="558">
        <v>2200</v>
      </c>
      <c r="O44" s="558">
        <f t="shared" si="0"/>
        <v>45600</v>
      </c>
    </row>
    <row r="45" ht="15.75" customHeight="1">
      <c r="B45" s="501" t="s">
        <v>2600</v>
      </c>
      <c r="C45" s="559">
        <v>2800</v>
      </c>
      <c r="D45" s="559">
        <v>2100</v>
      </c>
      <c r="E45" s="559">
        <v>3200</v>
      </c>
      <c r="F45" s="559">
        <v>2900</v>
      </c>
      <c r="G45" s="559">
        <v>2400</v>
      </c>
      <c r="H45" s="559">
        <v>2700</v>
      </c>
      <c r="I45" s="559">
        <v>2200</v>
      </c>
      <c r="J45" s="559">
        <v>3100</v>
      </c>
      <c r="K45" s="559">
        <v>2600</v>
      </c>
      <c r="L45" s="559">
        <v>2200</v>
      </c>
      <c r="M45" s="559">
        <v>2400</v>
      </c>
      <c r="N45" s="559">
        <v>1800</v>
      </c>
      <c r="O45" s="559">
        <f t="shared" si="0"/>
        <v>30400</v>
      </c>
    </row>
    <row r="46" ht="15.75" customHeight="1">
      <c r="B46" s="500" t="s">
        <v>2601</v>
      </c>
      <c r="C46" s="560">
        <v>800</v>
      </c>
      <c r="D46" s="560">
        <v>600</v>
      </c>
      <c r="E46" s="560">
        <v>1100</v>
      </c>
      <c r="F46" s="560">
        <v>900</v>
      </c>
      <c r="G46" s="560">
        <v>700</v>
      </c>
      <c r="H46" s="560">
        <v>800</v>
      </c>
      <c r="I46" s="560">
        <v>600</v>
      </c>
      <c r="J46" s="560">
        <v>1000</v>
      </c>
      <c r="K46" s="560">
        <v>800</v>
      </c>
      <c r="L46" s="560">
        <v>700</v>
      </c>
      <c r="M46" s="560">
        <v>600</v>
      </c>
      <c r="N46" s="560">
        <v>500</v>
      </c>
      <c r="O46" s="560">
        <f t="shared" si="0"/>
        <v>9100</v>
      </c>
    </row>
    <row r="47" ht="13.5" customHeight="1">
      <c r="B47" s="561" t="s">
        <v>2602</v>
      </c>
      <c r="C47" s="562">
        <f t="shared" si="3" ref="C47:O47">SUM(C44:C46)</f>
        <v>8100</v>
      </c>
      <c r="D47" s="562">
        <f t="shared" si="3"/>
        <v>5900</v>
      </c>
      <c r="E47" s="562">
        <f t="shared" si="3"/>
        <v>9400</v>
      </c>
      <c r="F47" s="562">
        <f t="shared" si="3"/>
        <v>8600</v>
      </c>
      <c r="G47" s="562">
        <f t="shared" si="3"/>
        <v>6700</v>
      </c>
      <c r="H47" s="562">
        <f t="shared" si="3"/>
        <v>7700</v>
      </c>
      <c r="I47" s="562">
        <f t="shared" si="3"/>
        <v>5900</v>
      </c>
      <c r="J47" s="562">
        <f t="shared" si="3"/>
        <v>9000</v>
      </c>
      <c r="K47" s="562">
        <f t="shared" si="3"/>
        <v>7200</v>
      </c>
      <c r="L47" s="562">
        <f t="shared" si="3"/>
        <v>6300</v>
      </c>
      <c r="M47" s="562">
        <f t="shared" si="3"/>
        <v>5800</v>
      </c>
      <c r="N47" s="562">
        <f t="shared" si="3"/>
        <v>4500</v>
      </c>
      <c r="O47" s="562">
        <f t="shared" si="3"/>
        <v>85100</v>
      </c>
    </row>
    <row r="50" ht="15" customHeight="1">
      <c r="B50" s="497" t="s">
        <v>2603</v>
      </c>
      <c r="C50" s="498"/>
      <c r="D50" s="498"/>
      <c r="E50" s="498"/>
      <c r="F50" s="498"/>
      <c r="G50" s="498"/>
      <c r="H50" s="498"/>
      <c r="J50" s="508" t="s">
        <v>2604</v>
      </c>
      <c r="K50" s="509"/>
      <c r="L50" s="509"/>
      <c r="M50" s="509"/>
    </row>
    <row r="51" ht="15.75" customHeight="1">
      <c r="B51" s="516" t="s">
        <v>489</v>
      </c>
      <c r="C51" s="516" t="s">
        <v>1826</v>
      </c>
      <c r="D51" s="563"/>
      <c r="E51" s="563"/>
      <c r="F51" s="516" t="s">
        <v>412</v>
      </c>
      <c r="G51" s="516" t="s">
        <v>491</v>
      </c>
      <c r="J51" s="564" t="s">
        <v>2554</v>
      </c>
      <c r="K51" s="184" t="s">
        <v>2605</v>
      </c>
    </row>
    <row r="52" ht="15.75" customHeight="1">
      <c r="B52" s="184">
        <v>1</v>
      </c>
      <c r="C52" s="184" t="s">
        <v>2606</v>
      </c>
      <c r="F52" s="184" t="s">
        <v>538</v>
      </c>
      <c r="G52" s="184" t="s">
        <v>2607</v>
      </c>
      <c r="J52" s="516" t="s">
        <v>2555</v>
      </c>
      <c r="K52" s="184" t="s">
        <v>2608</v>
      </c>
    </row>
    <row r="53" ht="15.75" customHeight="1">
      <c r="B53" s="184">
        <v>2</v>
      </c>
      <c r="C53" s="184" t="s">
        <v>2609</v>
      </c>
      <c r="F53" s="184" t="s">
        <v>751</v>
      </c>
      <c r="G53" s="184" t="s">
        <v>460</v>
      </c>
      <c r="J53" s="565" t="s">
        <v>2556</v>
      </c>
      <c r="K53" s="184" t="s">
        <v>2610</v>
      </c>
    </row>
    <row r="54" ht="15.75" customHeight="1">
      <c r="B54" s="184">
        <v>3</v>
      </c>
      <c r="C54" s="184" t="s">
        <v>2611</v>
      </c>
      <c r="F54" s="184" t="s">
        <v>2612</v>
      </c>
      <c r="G54" s="184" t="s">
        <v>464</v>
      </c>
      <c r="J54" s="556" t="s">
        <v>2557</v>
      </c>
      <c r="K54" s="184" t="s">
        <v>2613</v>
      </c>
    </row>
    <row r="55" ht="15.75" customHeight="1">
      <c r="B55" s="184">
        <v>4</v>
      </c>
      <c r="C55" s="184" t="s">
        <v>2614</v>
      </c>
      <c r="F55" s="184" t="s">
        <v>1406</v>
      </c>
      <c r="G55" s="184" t="s">
        <v>2615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2EDCF38-6908-AB38-559E-BC2C3427D418}" mc:Ignorable="x14ac xr xr2 xr3">
  <dimension ref="A1:GR50000"/>
  <sheetViews>
    <sheetView topLeftCell="A1" workbookViewId="0">
      <selection activeCell="A1" sqref="A1"/>
    </sheetView>
  </sheetViews>
  <sheetFormatPr defaultRowHeight="15" defaultColWidth="7.75390625" customHeight="1"/>
  <cols>
    <col min="1" max="1" width="0.625" customWidth="1"/>
    <col min="2" max="2" width="64.125" customWidth="1"/>
    <col min="3" max="14" width="9.375" customWidth="1"/>
    <col min="15" max="15" width="10.625" customWidth="1"/>
    <col min="16" max="16" width="9.375" customWidth="1"/>
  </cols>
  <sheetData>
    <row r="2" ht="21" customHeight="1">
      <c r="B2" s="472" t="s">
        <v>2616</v>
      </c>
    </row>
    <row r="3" ht="13.5" customHeight="1">
      <c r="B3" s="473" t="s">
        <v>2617</v>
      </c>
    </row>
    <row r="5" ht="15" customHeight="1">
      <c r="B5" s="504" t="s">
        <v>2618</v>
      </c>
      <c r="C5" s="505"/>
      <c r="D5" s="505"/>
      <c r="E5" s="505"/>
      <c r="F5" s="505"/>
    </row>
    <row r="6" ht="15.75" customHeight="1">
      <c r="B6" s="474" t="s">
        <v>2619</v>
      </c>
      <c r="C6" s="566">
        <v>1</v>
      </c>
      <c r="D6" s="184" t="s">
        <v>2620</v>
      </c>
      <c r="E6" s="184" t="s">
        <v>339</v>
      </c>
    </row>
    <row r="7" ht="15.75" customHeight="1">
      <c r="B7" s="474" t="s">
        <v>2621</v>
      </c>
      <c r="C7" s="184" t="s">
        <v>2622</v>
      </c>
    </row>
    <row r="10" ht="13.5" customHeight="1">
      <c r="B10" s="535" t="s">
        <v>1836</v>
      </c>
      <c r="C10" s="567" t="s">
        <v>339</v>
      </c>
      <c r="D10" s="567" t="s">
        <v>341</v>
      </c>
      <c r="E10" s="567" t="s">
        <v>344</v>
      </c>
      <c r="F10" s="567" t="s">
        <v>1791</v>
      </c>
      <c r="G10" s="567" t="s">
        <v>1793</v>
      </c>
      <c r="H10" s="567" t="s">
        <v>1795</v>
      </c>
      <c r="I10" s="567" t="s">
        <v>1797</v>
      </c>
      <c r="J10" s="567" t="s">
        <v>1799</v>
      </c>
      <c r="K10" s="567" t="s">
        <v>1801</v>
      </c>
      <c r="L10" s="567" t="s">
        <v>1803</v>
      </c>
      <c r="M10" s="567" t="s">
        <v>1805</v>
      </c>
      <c r="N10" s="567" t="s">
        <v>1807</v>
      </c>
      <c r="O10" s="567" t="s">
        <v>2623</v>
      </c>
      <c r="P10" s="567" t="s">
        <v>2624</v>
      </c>
    </row>
    <row r="11" ht="12.75" customHeight="1">
      <c r="B11" s="544" t="s">
        <v>2625</v>
      </c>
      <c r="C11" s="544" t="str">
        <f>_xlfn.IFERROR(IF(1&lt;=$C$6,"A","F"),0)</f>
        <v>A</v>
      </c>
      <c r="D11" s="544" t="str">
        <f>_xlfn.IFERROR(IF(2&lt;=$C$6,"A","F"),0)</f>
        <v>F</v>
      </c>
      <c r="E11" s="544" t="str">
        <f>_xlfn.IFERROR(IF(3&lt;=$C$6,"A","F"),0)</f>
        <v>F</v>
      </c>
      <c r="F11" s="544" t="str">
        <f>_xlfn.IFERROR(IF(4&lt;=$C$6,"A","F"),0)</f>
        <v>F</v>
      </c>
      <c r="G11" s="544" t="str">
        <f>_xlfn.IFERROR(IF(5&lt;=$C$6,"A","F"),0)</f>
        <v>F</v>
      </c>
      <c r="H11" s="544" t="str">
        <f>_xlfn.IFERROR(IF(6&lt;=$C$6,"A","F"),0)</f>
        <v>F</v>
      </c>
      <c r="I11" s="544" t="str">
        <f>_xlfn.IFERROR(IF(7&lt;=$C$6,"A","F"),0)</f>
        <v>F</v>
      </c>
      <c r="J11" s="544" t="str">
        <f>_xlfn.IFERROR(IF(8&lt;=$C$6,"A","F"),0)</f>
        <v>F</v>
      </c>
      <c r="K11" s="544" t="str">
        <f>_xlfn.IFERROR(IF(9&lt;=$C$6,"A","F"),0)</f>
        <v>F</v>
      </c>
      <c r="L11" s="544" t="str">
        <f>_xlfn.IFERROR(IF(10&lt;=$C$6,"A","F"),0)</f>
        <v>F</v>
      </c>
      <c r="M11" s="544" t="str">
        <f>_xlfn.IFERROR(IF(11&lt;=$C$6,"A","F"),0)</f>
        <v>F</v>
      </c>
      <c r="N11" s="544" t="str">
        <f>_xlfn.IFERROR(IF(12&lt;=$C$6,"A","F"),0)</f>
        <v>F</v>
      </c>
    </row>
    <row r="13" ht="13.5" customHeight="1">
      <c r="B13" s="525" t="s">
        <v>303</v>
      </c>
      <c r="C13" s="526"/>
      <c r="D13" s="526"/>
      <c r="E13" s="526"/>
      <c r="F13" s="526"/>
      <c r="G13" s="526"/>
      <c r="H13" s="526"/>
      <c r="I13" s="526"/>
      <c r="J13" s="526"/>
      <c r="K13" s="526"/>
      <c r="L13" s="526"/>
      <c r="M13" s="526"/>
      <c r="N13" s="526"/>
      <c r="O13" s="526"/>
      <c r="P13" s="526"/>
    </row>
    <row r="14" ht="15.75" customHeight="1">
      <c r="B14" s="184" t="s">
        <v>945</v>
      </c>
      <c r="C14" s="568">
        <f>IF(1&lt;=$C$6,452000,450000)</f>
        <v>452000</v>
      </c>
      <c r="D14" s="568">
        <f>IF(2&lt;=$C$6,455000,455000)</f>
        <v>455000</v>
      </c>
      <c r="E14" s="568">
        <f>IF(3&lt;=$C$6,458000,458000)</f>
        <v>458000</v>
      </c>
      <c r="F14" s="568">
        <f>IF(4&lt;=$C$6,462000,462000)</f>
        <v>462000</v>
      </c>
      <c r="G14" s="568">
        <f>IF(5&lt;=$C$6,465000,465000)</f>
        <v>465000</v>
      </c>
      <c r="H14" s="568">
        <f>IF(6&lt;=$C$6,470000,470000)</f>
        <v>470000</v>
      </c>
      <c r="I14" s="568">
        <f>IF(7&lt;=$C$6,472000,472000)</f>
        <v>472000</v>
      </c>
      <c r="J14" s="568">
        <f>IF(8&lt;=$C$6,475000,475000)</f>
        <v>475000</v>
      </c>
      <c r="K14" s="568">
        <f>IF(9&lt;=$C$6,478000,478000)</f>
        <v>478000</v>
      </c>
      <c r="L14" s="568">
        <f>IF(10&lt;=$C$6,480000,480000)</f>
        <v>480000</v>
      </c>
      <c r="M14" s="568">
        <f>IF(11&lt;=$C$6,482000,482000)</f>
        <v>482000</v>
      </c>
      <c r="N14" s="568">
        <f>IF(12&lt;=$C$6,485000,485000)</f>
        <v>485000</v>
      </c>
      <c r="O14" s="185">
        <f t="shared" si="0" ref="O14:O34">SUM(C14:N14)</f>
        <v>5634000</v>
      </c>
      <c r="P14" s="378">
        <v>0.032</v>
      </c>
    </row>
    <row r="15" ht="15.75" customHeight="1">
      <c r="B15" s="184" t="s">
        <v>1620</v>
      </c>
      <c r="C15" s="568">
        <f>IF(1&lt;=$C$6,19200,18000)</f>
        <v>19200</v>
      </c>
      <c r="D15" s="568">
        <f>IF(2&lt;=$C$6,18500,18500)</f>
        <v>18500</v>
      </c>
      <c r="E15" s="568">
        <f>IF(3&lt;=$C$6,19000,19000)</f>
        <v>19000</v>
      </c>
      <c r="F15" s="568">
        <f>IF(4&lt;=$C$6,19200,19200)</f>
        <v>19200</v>
      </c>
      <c r="G15" s="568">
        <f>IF(5&lt;=$C$6,19500,19500)</f>
        <v>19500</v>
      </c>
      <c r="H15" s="568">
        <f>IF(6&lt;=$C$6,20000,20000)</f>
        <v>20000</v>
      </c>
      <c r="I15" s="568">
        <f>IF(7&lt;=$C$6,20200,20200)</f>
        <v>20200</v>
      </c>
      <c r="J15" s="568">
        <f>IF(8&lt;=$C$6,20500,20500)</f>
        <v>20500</v>
      </c>
      <c r="K15" s="568">
        <f>IF(9&lt;=$C$6,20800,20800)</f>
        <v>20800</v>
      </c>
      <c r="L15" s="568">
        <f>IF(10&lt;=$C$6,21000,21000)</f>
        <v>21000</v>
      </c>
      <c r="M15" s="568">
        <f>IF(11&lt;=$C$6,21200,21200)</f>
        <v>21200</v>
      </c>
      <c r="N15" s="568">
        <f>IF(12&lt;=$C$6,21500,21500)</f>
        <v>21500</v>
      </c>
      <c r="O15" s="185">
        <f t="shared" si="0"/>
        <v>240600</v>
      </c>
      <c r="P15" s="378">
        <v>0.045</v>
      </c>
    </row>
    <row r="16" ht="13.5" customHeight="1">
      <c r="B16" s="569" t="s">
        <v>6</v>
      </c>
      <c r="C16" s="570">
        <f t="shared" si="1" ref="C16:N35">_xlfn.IFERROR(C14+C15,0)</f>
        <v>471200</v>
      </c>
      <c r="D16" s="570">
        <f t="shared" si="1"/>
        <v>473500</v>
      </c>
      <c r="E16" s="570">
        <f t="shared" si="1"/>
        <v>477000</v>
      </c>
      <c r="F16" s="570">
        <f t="shared" si="1"/>
        <v>481200</v>
      </c>
      <c r="G16" s="570">
        <f t="shared" si="1"/>
        <v>484500</v>
      </c>
      <c r="H16" s="570">
        <f t="shared" si="1"/>
        <v>490000</v>
      </c>
      <c r="I16" s="570">
        <f t="shared" si="1"/>
        <v>492200</v>
      </c>
      <c r="J16" s="570">
        <f t="shared" si="1"/>
        <v>495500</v>
      </c>
      <c r="K16" s="570">
        <f t="shared" si="1"/>
        <v>498800</v>
      </c>
      <c r="L16" s="570">
        <f t="shared" si="1"/>
        <v>501000</v>
      </c>
      <c r="M16" s="570">
        <f t="shared" si="1"/>
        <v>503200</v>
      </c>
      <c r="N16" s="570">
        <f t="shared" si="1"/>
        <v>506500</v>
      </c>
      <c r="O16" s="571">
        <f t="shared" si="2" ref="O16:O38">_xlfn.IFERROR(SUM(C16:N16),0)</f>
        <v>5874600</v>
      </c>
      <c r="P16" s="572">
        <f>_xlfn.IFERROR(AVERAGE(C14:N14)/450000-1,0)</f>
        <v>0.0433333333333332</v>
      </c>
    </row>
    <row r="18" ht="13.5" customHeight="1">
      <c r="B18" s="533" t="s">
        <v>1651</v>
      </c>
      <c r="C18" s="534"/>
      <c r="D18" s="534"/>
      <c r="E18" s="534"/>
      <c r="F18" s="534"/>
      <c r="G18" s="534"/>
      <c r="H18" s="534"/>
      <c r="I18" s="534"/>
      <c r="J18" s="534"/>
      <c r="K18" s="534"/>
      <c r="L18" s="534"/>
      <c r="M18" s="534"/>
      <c r="N18" s="534"/>
      <c r="O18" s="534"/>
      <c r="P18" s="534"/>
    </row>
    <row r="19" ht="15.75" customHeight="1">
      <c r="B19" s="184" t="s">
        <v>1770</v>
      </c>
      <c r="C19" s="568">
        <f>IF(1&lt;=$C$6,88000,85000)</f>
        <v>88000</v>
      </c>
      <c r="D19" s="568">
        <f>IF(2&lt;=$C$6,85500,85500)</f>
        <v>85500</v>
      </c>
      <c r="E19" s="568">
        <f>IF(3&lt;=$C$6,86000,86000)</f>
        <v>86000</v>
      </c>
      <c r="F19" s="568">
        <f>IF(4&lt;=$C$6,86500,86500)</f>
        <v>86500</v>
      </c>
      <c r="G19" s="568">
        <f>IF(5&lt;=$C$6,87000,87000)</f>
        <v>87000</v>
      </c>
      <c r="H19" s="568">
        <f>IF(6&lt;=$C$6,87500,87500)</f>
        <v>87500</v>
      </c>
      <c r="I19" s="568">
        <f>IF(7&lt;=$C$6,88000,88000)</f>
        <v>88000</v>
      </c>
      <c r="J19" s="568">
        <f>IF(8&lt;=$C$6,88500,88500)</f>
        <v>88500</v>
      </c>
      <c r="K19" s="568">
        <f>IF(9&lt;=$C$6,89000,89000)</f>
        <v>89000</v>
      </c>
      <c r="L19" s="568">
        <f>IF(10&lt;=$C$6,89500,89500)</f>
        <v>89500</v>
      </c>
      <c r="M19" s="568">
        <f>IF(11&lt;=$C$6,90000,90000)</f>
        <v>90000</v>
      </c>
      <c r="N19" s="568">
        <f>IF(12&lt;=$C$6,90500,90500)</f>
        <v>90500</v>
      </c>
      <c r="O19" s="185">
        <f t="shared" si="0"/>
        <v>1056000</v>
      </c>
    </row>
    <row r="20" ht="15.75" customHeight="1">
      <c r="B20" s="184" t="s">
        <v>1654</v>
      </c>
      <c r="C20" s="568">
        <f>IF(1&lt;=$C$6,29500,28000)</f>
        <v>29500</v>
      </c>
      <c r="D20" s="568">
        <f>IF(2&lt;=$C$6,30000,30000)</f>
        <v>30000</v>
      </c>
      <c r="E20" s="568">
        <f>IF(3&lt;=$C$6,32000,32000)</f>
        <v>32000</v>
      </c>
      <c r="F20" s="568">
        <f>IF(4&lt;=$C$6,35000,35000)</f>
        <v>35000</v>
      </c>
      <c r="G20" s="568">
        <f>IF(5&lt;=$C$6,33000,33000)</f>
        <v>33000</v>
      </c>
      <c r="H20" s="568">
        <f>IF(6&lt;=$C$6,31000,31000)</f>
        <v>31000</v>
      </c>
      <c r="I20" s="568">
        <f>IF(7&lt;=$C$6,29000,29000)</f>
        <v>29000</v>
      </c>
      <c r="J20" s="568">
        <f>IF(8&lt;=$C$6,32000,32000)</f>
        <v>32000</v>
      </c>
      <c r="K20" s="568">
        <f>IF(9&lt;=$C$6,34000,34000)</f>
        <v>34000</v>
      </c>
      <c r="L20" s="568">
        <f>IF(10&lt;=$C$6,30000,30000)</f>
        <v>30000</v>
      </c>
      <c r="M20" s="568">
        <f>IF(11&lt;=$C$6,28000,28000)</f>
        <v>28000</v>
      </c>
      <c r="N20" s="568">
        <f>IF(12&lt;=$C$6,26000,26000)</f>
        <v>26000</v>
      </c>
      <c r="O20" s="185">
        <f t="shared" si="0"/>
        <v>369500</v>
      </c>
    </row>
    <row r="21" ht="15.75" customHeight="1">
      <c r="B21" s="184" t="s">
        <v>1624</v>
      </c>
      <c r="C21" s="568">
        <f>IF(1&lt;=$C$6,23800,24000)</f>
        <v>23800</v>
      </c>
      <c r="D21" s="568">
        <f>IF(2&lt;=$C$6,23000,23000)</f>
        <v>23000</v>
      </c>
      <c r="E21" s="568">
        <f>IF(3&lt;=$C$6,22000,22000)</f>
        <v>22000</v>
      </c>
      <c r="F21" s="568">
        <f>IF(4&lt;=$C$6,21000,21000)</f>
        <v>21000</v>
      </c>
      <c r="G21" s="568">
        <f>IF(5&lt;=$C$6,23000,23000)</f>
        <v>23000</v>
      </c>
      <c r="H21" s="568">
        <f>IF(6&lt;=$C$6,26000,26000)</f>
        <v>26000</v>
      </c>
      <c r="I21" s="568">
        <f>IF(7&lt;=$C$6,28000,28000)</f>
        <v>28000</v>
      </c>
      <c r="J21" s="568">
        <f>IF(8&lt;=$C$6,27000,27000)</f>
        <v>27000</v>
      </c>
      <c r="K21" s="568">
        <f>IF(9&lt;=$C$6,25000,25000)</f>
        <v>25000</v>
      </c>
      <c r="L21" s="568">
        <f>IF(10&lt;=$C$6,23000,23000)</f>
        <v>23000</v>
      </c>
      <c r="M21" s="568">
        <f>IF(11&lt;=$C$6,22000,22000)</f>
        <v>22000</v>
      </c>
      <c r="N21" s="568">
        <f>IF(12&lt;=$C$6,24000,24000)</f>
        <v>24000</v>
      </c>
      <c r="O21" s="185">
        <f t="shared" si="0"/>
        <v>287800</v>
      </c>
    </row>
    <row r="22" ht="15.75" customHeight="1">
      <c r="B22" s="184" t="s">
        <v>1657</v>
      </c>
      <c r="C22" s="568">
        <f>_xlfn.IFERROR(IF(1&lt;=$C$6,22000,22000),0)</f>
        <v>22000</v>
      </c>
      <c r="D22" s="568">
        <f>_xlfn.IFERROR(IF(2&lt;=$C$6,22000,22000),0)</f>
        <v>22000</v>
      </c>
      <c r="E22" s="568">
        <f>_xlfn.IFERROR(IF(3&lt;=$C$6,22000,22000),0)</f>
        <v>22000</v>
      </c>
      <c r="F22" s="568">
        <f>_xlfn.IFERROR(IF(4&lt;=$C$6,22000,22000),0)</f>
        <v>22000</v>
      </c>
      <c r="G22" s="568">
        <f>_xlfn.IFERROR(IF(5&lt;=$C$6,22500,22500),0)</f>
        <v>22500</v>
      </c>
      <c r="H22" s="568">
        <f>_xlfn.IFERROR(IF(6&lt;=$C$6,22500,22500),0)</f>
        <v>22500</v>
      </c>
      <c r="I22" s="568">
        <f>_xlfn.IFERROR(IF(7&lt;=$C$6,22500,22500),0)</f>
        <v>22500</v>
      </c>
      <c r="J22" s="568">
        <f>_xlfn.IFERROR(IF(8&lt;=$C$6,22500,22500),0)</f>
        <v>22500</v>
      </c>
      <c r="K22" s="568">
        <f>_xlfn.IFERROR(IF(9&lt;=$C$6,23000,23000),0)</f>
        <v>23000</v>
      </c>
      <c r="L22" s="568">
        <f>_xlfn.IFERROR(IF(10&lt;=$C$6,23000,23000),0)</f>
        <v>23000</v>
      </c>
      <c r="M22" s="568">
        <f>_xlfn.IFERROR(IF(11&lt;=$C$6,23000,23000),0)</f>
        <v>23000</v>
      </c>
      <c r="N22" s="568">
        <f>_xlfn.IFERROR(IF(12&lt;=$C$6,23000,23000),0)</f>
        <v>23000</v>
      </c>
      <c r="O22" s="185">
        <f t="shared" si="2"/>
        <v>270000</v>
      </c>
    </row>
    <row r="23" ht="15.75" customHeight="1">
      <c r="B23" s="184" t="s">
        <v>729</v>
      </c>
      <c r="C23" s="568">
        <f>IF(1&lt;=$C$6,16500,15000)</f>
        <v>16500</v>
      </c>
      <c r="D23" s="568">
        <f>IF(2&lt;=$C$6,18000,18000)</f>
        <v>18000</v>
      </c>
      <c r="E23" s="568">
        <f>IF(3&lt;=$C$6,20000,20000)</f>
        <v>20000</v>
      </c>
      <c r="F23" s="568">
        <f>IF(4&lt;=$C$6,22000,22000)</f>
        <v>22000</v>
      </c>
      <c r="G23" s="568">
        <f>IF(5&lt;=$C$6,20000,20000)</f>
        <v>20000</v>
      </c>
      <c r="H23" s="568">
        <f>IF(6&lt;=$C$6,18000,18000)</f>
        <v>18000</v>
      </c>
      <c r="I23" s="568">
        <f>IF(7&lt;=$C$6,16000,16000)</f>
        <v>16000</v>
      </c>
      <c r="J23" s="568">
        <f>IF(8&lt;=$C$6,18000,18000)</f>
        <v>18000</v>
      </c>
      <c r="K23" s="568">
        <f>IF(9&lt;=$C$6,20000,20000)</f>
        <v>20000</v>
      </c>
      <c r="L23" s="568">
        <f>IF(10&lt;=$C$6,18000,18000)</f>
        <v>18000</v>
      </c>
      <c r="M23" s="568">
        <f>IF(11&lt;=$C$6,16000,16000)</f>
        <v>16000</v>
      </c>
      <c r="N23" s="568">
        <f>IF(12&lt;=$C$6,14000,14000)</f>
        <v>14000</v>
      </c>
      <c r="O23" s="185">
        <f t="shared" si="0"/>
        <v>216500</v>
      </c>
    </row>
    <row r="24" ht="15.75" customHeight="1">
      <c r="B24" s="184" t="s">
        <v>1626</v>
      </c>
      <c r="C24" s="568">
        <f>IF(1&lt;=$C$6,12000,12000)</f>
        <v>12000</v>
      </c>
      <c r="D24" s="568">
        <f>IF(2&lt;=$C$6,12000,12000)</f>
        <v>12000</v>
      </c>
      <c r="E24" s="568">
        <f>IF(3&lt;=$C$6,12000,12000)</f>
        <v>12000</v>
      </c>
      <c r="F24" s="568">
        <f>IF(4&lt;=$C$6,12000,12000)</f>
        <v>12000</v>
      </c>
      <c r="G24" s="568">
        <f>IF(5&lt;=$C$6,12000,12000)</f>
        <v>12000</v>
      </c>
      <c r="H24" s="568">
        <f>IF(6&lt;=$C$6,12000,12000)</f>
        <v>12000</v>
      </c>
      <c r="I24" s="568">
        <f>IF(7&lt;=$C$6,12500,12500)</f>
        <v>12500</v>
      </c>
      <c r="J24" s="568">
        <f>IF(8&lt;=$C$6,12500,12500)</f>
        <v>12500</v>
      </c>
      <c r="K24" s="568">
        <f>IF(9&lt;=$C$6,12500,12500)</f>
        <v>12500</v>
      </c>
      <c r="L24" s="568">
        <f>IF(10&lt;=$C$6,12500,12500)</f>
        <v>12500</v>
      </c>
      <c r="M24" s="568">
        <f>IF(11&lt;=$C$6,12500,12500)</f>
        <v>12500</v>
      </c>
      <c r="N24" s="568">
        <f>IF(12&lt;=$C$6,12500,12500)</f>
        <v>12500</v>
      </c>
      <c r="O24" s="185">
        <f t="shared" si="0"/>
        <v>147000</v>
      </c>
    </row>
    <row r="25" ht="15.75" customHeight="1">
      <c r="B25" s="184" t="s">
        <v>1656</v>
      </c>
      <c r="C25" s="568">
        <f>IF(1&lt;=$C$6,38000,38000)</f>
        <v>38000</v>
      </c>
      <c r="D25" s="568">
        <f>IF(2&lt;=$C$6,38000,38000)</f>
        <v>38000</v>
      </c>
      <c r="E25" s="568">
        <f>IF(3&lt;=$C$6,38000,38000)</f>
        <v>38000</v>
      </c>
      <c r="F25" s="568">
        <f>IF(4&lt;=$C$6,38000,38000)</f>
        <v>38000</v>
      </c>
      <c r="G25" s="568">
        <f>IF(5&lt;=$C$6,38000,38000)</f>
        <v>38000</v>
      </c>
      <c r="H25" s="568">
        <f>IF(6&lt;=$C$6,38000,38000)</f>
        <v>38000</v>
      </c>
      <c r="I25" s="568">
        <f>IF(7&lt;=$C$6,38500,38500)</f>
        <v>38500</v>
      </c>
      <c r="J25" s="568">
        <f>IF(8&lt;=$C$6,38500,38500)</f>
        <v>38500</v>
      </c>
      <c r="K25" s="568">
        <f>IF(9&lt;=$C$6,38500,38500)</f>
        <v>38500</v>
      </c>
      <c r="L25" s="568">
        <f>IF(10&lt;=$C$6,38500,38500)</f>
        <v>38500</v>
      </c>
      <c r="M25" s="568">
        <f>IF(11&lt;=$C$6,38500,38500)</f>
        <v>38500</v>
      </c>
      <c r="N25" s="568">
        <f>IF(12&lt;=$C$6,38500,38500)</f>
        <v>38500</v>
      </c>
      <c r="O25" s="185">
        <f t="shared" si="0"/>
        <v>459000</v>
      </c>
    </row>
    <row r="26" ht="15.75" customHeight="1">
      <c r="B26" s="184" t="s">
        <v>2627</v>
      </c>
      <c r="C26" s="568">
        <f>IF(1&lt;=$C$6,8500,8000)</f>
        <v>8500</v>
      </c>
      <c r="D26" s="568">
        <f>IF(2&lt;=$C$6,8200,8200)</f>
        <v>8200</v>
      </c>
      <c r="E26" s="568">
        <f>IF(3&lt;=$C$6,8400,8400)</f>
        <v>8400</v>
      </c>
      <c r="F26" s="568">
        <f>IF(4&lt;=$C$6,8600,8600)</f>
        <v>8600</v>
      </c>
      <c r="G26" s="568">
        <f>IF(5&lt;=$C$6,8800,8800)</f>
        <v>8800</v>
      </c>
      <c r="H26" s="568">
        <f>IF(6&lt;=$C$6,9000,9000)</f>
        <v>9000</v>
      </c>
      <c r="I26" s="568">
        <f>IF(7&lt;=$C$6,9000,9000)</f>
        <v>9000</v>
      </c>
      <c r="J26" s="568">
        <f>IF(8&lt;=$C$6,9200,9200)</f>
        <v>9200</v>
      </c>
      <c r="K26" s="568">
        <f>IF(9&lt;=$C$6,9400,9400)</f>
        <v>9400</v>
      </c>
      <c r="L26" s="568">
        <f>IF(10&lt;=$C$6,9600,9600)</f>
        <v>9600</v>
      </c>
      <c r="M26" s="568">
        <f>IF(11&lt;=$C$6,9800,9800)</f>
        <v>9800</v>
      </c>
      <c r="N26" s="568">
        <f>IF(12&lt;=$C$6,10000,10000)</f>
        <v>10000</v>
      </c>
      <c r="O26" s="185">
        <f t="shared" si="0"/>
        <v>108500</v>
      </c>
    </row>
    <row r="27" ht="13.5" customHeight="1">
      <c r="B27" s="569" t="s">
        <v>1621</v>
      </c>
      <c r="C27" s="570">
        <f t="shared" si="3" ref="C27:N27">SUM(C19:C26)</f>
        <v>238300</v>
      </c>
      <c r="D27" s="570">
        <f t="shared" si="3"/>
        <v>236700</v>
      </c>
      <c r="E27" s="570">
        <f t="shared" si="3"/>
        <v>240400</v>
      </c>
      <c r="F27" s="570">
        <f t="shared" si="3"/>
        <v>245100</v>
      </c>
      <c r="G27" s="570">
        <f t="shared" si="3"/>
        <v>244300</v>
      </c>
      <c r="H27" s="570">
        <f t="shared" si="3"/>
        <v>244000</v>
      </c>
      <c r="I27" s="570">
        <f t="shared" si="3"/>
        <v>243500</v>
      </c>
      <c r="J27" s="570">
        <f t="shared" si="3"/>
        <v>248200</v>
      </c>
      <c r="K27" s="570">
        <f t="shared" si="3"/>
        <v>251400</v>
      </c>
      <c r="L27" s="570">
        <f t="shared" si="3"/>
        <v>244100</v>
      </c>
      <c r="M27" s="570">
        <f t="shared" si="3"/>
        <v>239800</v>
      </c>
      <c r="N27" s="570">
        <f t="shared" si="3"/>
        <v>238500</v>
      </c>
      <c r="O27" s="571">
        <f t="shared" si="0"/>
        <v>2914300</v>
      </c>
      <c r="P27" s="573"/>
    </row>
    <row r="29" ht="13.5" customHeight="1">
      <c r="B29" s="535" t="s">
        <v>331</v>
      </c>
      <c r="C29" s="536"/>
      <c r="D29" s="536"/>
      <c r="E29" s="536"/>
      <c r="F29" s="536"/>
      <c r="G29" s="536"/>
      <c r="H29" s="536"/>
      <c r="I29" s="536"/>
      <c r="J29" s="536"/>
      <c r="K29" s="536"/>
      <c r="L29" s="536"/>
      <c r="M29" s="536"/>
      <c r="N29" s="536"/>
      <c r="O29" s="536"/>
      <c r="P29" s="536"/>
    </row>
    <row r="30" ht="13.5" customHeight="1">
      <c r="B30" s="574" t="s">
        <v>153</v>
      </c>
      <c r="C30" s="575">
        <f t="shared" si="4" ref="C30:N30">_xlfn.IFERROR(C16-C27,0)</f>
        <v>232900</v>
      </c>
      <c r="D30" s="575">
        <f t="shared" si="4"/>
        <v>236800</v>
      </c>
      <c r="E30" s="575">
        <f t="shared" si="4"/>
        <v>236600</v>
      </c>
      <c r="F30" s="575">
        <f t="shared" si="4"/>
        <v>236100</v>
      </c>
      <c r="G30" s="575">
        <f t="shared" si="4"/>
        <v>240200</v>
      </c>
      <c r="H30" s="575">
        <f t="shared" si="4"/>
        <v>246000</v>
      </c>
      <c r="I30" s="575">
        <f t="shared" si="4"/>
        <v>248700</v>
      </c>
      <c r="J30" s="575">
        <f t="shared" si="4"/>
        <v>247300</v>
      </c>
      <c r="K30" s="575">
        <f t="shared" si="4"/>
        <v>247400</v>
      </c>
      <c r="L30" s="575">
        <f t="shared" si="4"/>
        <v>256900</v>
      </c>
      <c r="M30" s="575">
        <f t="shared" si="4"/>
        <v>263400</v>
      </c>
      <c r="N30" s="575">
        <f t="shared" si="4"/>
        <v>268000</v>
      </c>
      <c r="O30" s="576">
        <f t="shared" si="2"/>
        <v>2960300</v>
      </c>
      <c r="P30" s="577">
        <f>_xlfn.IFERROR(O30/O16,0)</f>
        <v>0.503915160181119</v>
      </c>
    </row>
    <row r="32" ht="13.5" customHeight="1">
      <c r="B32" s="578" t="s">
        <v>2628</v>
      </c>
      <c r="C32" s="579"/>
      <c r="D32" s="579"/>
      <c r="E32" s="579"/>
      <c r="F32" s="579"/>
      <c r="G32" s="579"/>
      <c r="H32" s="579"/>
      <c r="I32" s="579"/>
      <c r="J32" s="579"/>
      <c r="K32" s="579"/>
      <c r="L32" s="579"/>
      <c r="M32" s="579"/>
      <c r="N32" s="579"/>
      <c r="O32" s="579"/>
      <c r="P32" s="579"/>
    </row>
    <row r="33" ht="15.75" customHeight="1">
      <c r="B33" s="184" t="s">
        <v>2629</v>
      </c>
      <c r="C33" s="580">
        <v>15000</v>
      </c>
      <c r="D33" s="580">
        <v>12000</v>
      </c>
      <c r="E33" s="580">
        <v>18000</v>
      </c>
      <c r="F33" s="580">
        <v>25000</v>
      </c>
      <c r="G33" s="580">
        <v>20000</v>
      </c>
      <c r="H33" s="580">
        <v>15000</v>
      </c>
      <c r="I33" s="580">
        <v>12000</v>
      </c>
      <c r="J33" s="580">
        <v>22000</v>
      </c>
      <c r="K33" s="580">
        <v>18000</v>
      </c>
      <c r="L33" s="580">
        <v>15000</v>
      </c>
      <c r="M33" s="580">
        <v>12000</v>
      </c>
      <c r="N33" s="580">
        <v>10000</v>
      </c>
      <c r="O33" s="185">
        <f t="shared" si="0"/>
        <v>194000</v>
      </c>
    </row>
    <row r="34" ht="15.75" customHeight="1">
      <c r="B34" s="184" t="s">
        <v>2630</v>
      </c>
      <c r="C34" s="580">
        <v>125000</v>
      </c>
      <c r="D34" s="580">
        <v>125000</v>
      </c>
      <c r="E34" s="580">
        <v>125000</v>
      </c>
      <c r="F34" s="580">
        <v>125000</v>
      </c>
      <c r="G34" s="580">
        <v>125000</v>
      </c>
      <c r="H34" s="580">
        <v>125000</v>
      </c>
      <c r="I34" s="580">
        <v>125000</v>
      </c>
      <c r="J34" s="580">
        <v>125000</v>
      </c>
      <c r="K34" s="580">
        <v>125000</v>
      </c>
      <c r="L34" s="580">
        <v>125000</v>
      </c>
      <c r="M34" s="580">
        <v>125000</v>
      </c>
      <c r="N34" s="580">
        <v>125000</v>
      </c>
      <c r="O34" s="185">
        <f t="shared" si="0"/>
        <v>1500000</v>
      </c>
    </row>
    <row r="35" ht="13.5" customHeight="1">
      <c r="B35" s="569" t="s">
        <v>2631</v>
      </c>
      <c r="C35" s="570">
        <f t="shared" si="1"/>
        <v>140000</v>
      </c>
      <c r="D35" s="570">
        <f t="shared" si="1"/>
        <v>137000</v>
      </c>
      <c r="E35" s="570">
        <f t="shared" si="1"/>
        <v>143000</v>
      </c>
      <c r="F35" s="570">
        <f t="shared" si="1"/>
        <v>150000</v>
      </c>
      <c r="G35" s="570">
        <f t="shared" si="1"/>
        <v>145000</v>
      </c>
      <c r="H35" s="570">
        <f t="shared" si="1"/>
        <v>140000</v>
      </c>
      <c r="I35" s="570">
        <f t="shared" si="1"/>
        <v>137000</v>
      </c>
      <c r="J35" s="570">
        <f t="shared" si="1"/>
        <v>147000</v>
      </c>
      <c r="K35" s="570">
        <f t="shared" si="1"/>
        <v>143000</v>
      </c>
      <c r="L35" s="570">
        <f t="shared" si="1"/>
        <v>140000</v>
      </c>
      <c r="M35" s="570">
        <f t="shared" si="1"/>
        <v>137000</v>
      </c>
      <c r="N35" s="570">
        <f t="shared" si="1"/>
        <v>135000</v>
      </c>
      <c r="O35" s="571">
        <f t="shared" si="2"/>
        <v>1694000</v>
      </c>
      <c r="P35" s="573"/>
    </row>
    <row r="37" ht="13.5" customHeight="1">
      <c r="B37" s="581" t="s">
        <v>2632</v>
      </c>
      <c r="C37" s="582"/>
      <c r="D37" s="582"/>
      <c r="E37" s="582"/>
      <c r="F37" s="582"/>
      <c r="G37" s="582"/>
      <c r="H37" s="582"/>
      <c r="I37" s="582"/>
      <c r="J37" s="582"/>
      <c r="K37" s="582"/>
      <c r="L37" s="582"/>
      <c r="M37" s="582"/>
      <c r="N37" s="582"/>
      <c r="O37" s="582"/>
      <c r="P37" s="582"/>
    </row>
    <row r="38" ht="15" customHeight="1">
      <c r="B38" s="195" t="s">
        <v>181</v>
      </c>
      <c r="C38" s="583">
        <f t="shared" si="5" ref="C38:N38">_xlfn.IFERROR(C30-C35,0)</f>
        <v>92900</v>
      </c>
      <c r="D38" s="583">
        <f t="shared" si="5"/>
        <v>99800</v>
      </c>
      <c r="E38" s="583">
        <f t="shared" si="5"/>
        <v>93600</v>
      </c>
      <c r="F38" s="583">
        <f t="shared" si="5"/>
        <v>86100</v>
      </c>
      <c r="G38" s="583">
        <f t="shared" si="5"/>
        <v>95200</v>
      </c>
      <c r="H38" s="583">
        <f t="shared" si="5"/>
        <v>106000</v>
      </c>
      <c r="I38" s="583">
        <f t="shared" si="5"/>
        <v>111700</v>
      </c>
      <c r="J38" s="583">
        <f t="shared" si="5"/>
        <v>100300</v>
      </c>
      <c r="K38" s="583">
        <f t="shared" si="5"/>
        <v>104400</v>
      </c>
      <c r="L38" s="583">
        <f t="shared" si="5"/>
        <v>116900</v>
      </c>
      <c r="M38" s="583">
        <f t="shared" si="5"/>
        <v>126400</v>
      </c>
      <c r="N38" s="583">
        <f t="shared" si="5"/>
        <v>133000</v>
      </c>
      <c r="O38" s="584">
        <f t="shared" si="2"/>
        <v>1266300</v>
      </c>
      <c r="P38" s="196"/>
    </row>
    <row r="41" ht="13.5" customHeight="1">
      <c r="B41" s="585" t="s">
        <v>2633</v>
      </c>
      <c r="C41" s="586"/>
      <c r="D41" s="586"/>
      <c r="E41" s="586"/>
      <c r="F41" s="586"/>
      <c r="G41" s="586"/>
      <c r="H41" s="586"/>
      <c r="I41" s="586"/>
      <c r="J41" s="586"/>
      <c r="K41" s="586"/>
      <c r="L41" s="586"/>
      <c r="M41" s="586"/>
      <c r="N41" s="586"/>
      <c r="O41" s="586"/>
      <c r="P41" s="586"/>
    </row>
    <row r="42" ht="12.75" customHeight="1">
      <c r="B42" s="587" t="s">
        <v>19</v>
      </c>
      <c r="C42" s="587" t="s">
        <v>289</v>
      </c>
      <c r="D42" s="587" t="s">
        <v>292</v>
      </c>
      <c r="E42" s="587" t="s">
        <v>20</v>
      </c>
      <c r="F42" s="587" t="s">
        <v>22</v>
      </c>
      <c r="G42" s="587" t="s">
        <v>2634</v>
      </c>
    </row>
    <row r="43" ht="15.75" customHeight="1">
      <c r="B43" s="184" t="s">
        <v>6</v>
      </c>
      <c r="C43" s="185">
        <v>5650000</v>
      </c>
      <c r="D43" s="185" cm="1">
        <f t="array" ref="D43">O16</f>
        <v>5874600</v>
      </c>
      <c r="E43" s="185" cm="1">
        <f t="array" ref="E43">C16</f>
        <v>471200</v>
      </c>
      <c r="F43" s="185">
        <f t="shared" si="6" ref="F43:F46">E43-C43</f>
        <v>-5178800</v>
      </c>
      <c r="G43" s="378">
        <f t="shared" si="7" ref="G43:G46">1-ABS(F43/C43)</f>
        <v>0.0833982300884956</v>
      </c>
    </row>
    <row r="44" ht="15.75" customHeight="1">
      <c r="B44" s="184" t="s">
        <v>2635</v>
      </c>
      <c r="C44" s="185">
        <v>2850000</v>
      </c>
      <c r="D44" s="185" cm="1">
        <f t="array" ref="D44">O27</f>
        <v>2914300</v>
      </c>
      <c r="E44" s="185" cm="1">
        <f t="array" ref="E44">C27</f>
        <v>238300</v>
      </c>
      <c r="F44" s="185">
        <f t="shared" si="6"/>
        <v>-2611700</v>
      </c>
      <c r="G44" s="378">
        <f t="shared" si="7"/>
        <v>0.0836140350877193</v>
      </c>
    </row>
    <row r="45" ht="15.75" customHeight="1">
      <c r="B45" s="184" t="s">
        <v>153</v>
      </c>
      <c r="C45" s="185">
        <v>2800000</v>
      </c>
      <c r="D45" s="185" cm="1">
        <f t="array" ref="D45">O30</f>
        <v>2960300</v>
      </c>
      <c r="E45" s="185" cm="1">
        <f t="array" ref="E45">C30</f>
        <v>232900</v>
      </c>
      <c r="F45" s="185">
        <f t="shared" si="6"/>
        <v>-2567100</v>
      </c>
      <c r="G45" s="378">
        <f t="shared" si="7"/>
        <v>0.0831785714285714</v>
      </c>
    </row>
    <row r="46" ht="15.75" customHeight="1">
      <c r="B46" s="184" t="s">
        <v>181</v>
      </c>
      <c r="C46" s="185">
        <v>1200000</v>
      </c>
      <c r="D46" s="185" cm="1">
        <f t="array" ref="D46">O38</f>
        <v>1266300</v>
      </c>
      <c r="E46" s="185" cm="1">
        <f t="array" ref="E46">C38</f>
        <v>92900</v>
      </c>
      <c r="F46" s="185">
        <f t="shared" si="6"/>
        <v>-1107100</v>
      </c>
      <c r="G46" s="378">
        <f t="shared" si="7"/>
        <v>0.0774166666666667</v>
      </c>
    </row>
    <row r="49" ht="13.5" customHeight="1">
      <c r="B49" s="588" t="s">
        <v>2636</v>
      </c>
      <c r="C49" s="589"/>
      <c r="D49" s="589"/>
      <c r="E49" s="589"/>
      <c r="F49" s="589"/>
      <c r="G49" s="589"/>
    </row>
    <row r="50" ht="12.75" customHeight="1">
      <c r="B50" s="537" t="s">
        <v>2637</v>
      </c>
      <c r="C50" s="537" t="s">
        <v>517</v>
      </c>
      <c r="D50" s="537" t="s">
        <v>118</v>
      </c>
    </row>
    <row r="51" ht="15.75" customHeight="1">
      <c r="B51" s="184" t="s">
        <v>2638</v>
      </c>
      <c r="C51" s="184" t="s">
        <v>2639</v>
      </c>
      <c r="D51" s="184" t="s">
        <v>2640</v>
      </c>
    </row>
    <row r="52" ht="15.75" customHeight="1">
      <c r="B52" s="184" t="s">
        <v>2641</v>
      </c>
      <c r="C52" s="184" t="s">
        <v>2261</v>
      </c>
      <c r="D52" s="184" t="s">
        <v>2642</v>
      </c>
    </row>
    <row r="53" ht="15.75" customHeight="1">
      <c r="B53" s="184" t="s">
        <v>2643</v>
      </c>
      <c r="C53" s="184" t="s">
        <v>2644</v>
      </c>
      <c r="D53" s="184" t="s">
        <v>2645</v>
      </c>
    </row>
    <row r="54" ht="15.75" customHeight="1">
      <c r="B54" s="184" t="s">
        <v>2646</v>
      </c>
      <c r="C54" s="184" t="s">
        <v>2647</v>
      </c>
      <c r="D54" s="184" t="s">
        <v>2648</v>
      </c>
    </row>
    <row r="55" ht="15.75" customHeight="1">
      <c r="B55" s="184" t="s">
        <v>2630</v>
      </c>
      <c r="C55" s="184" t="s">
        <v>2649</v>
      </c>
      <c r="D55" s="184" t="s">
        <v>2650</v>
      </c>
    </row>
    <row r="57" ht="13.5" customHeight="1">
      <c r="B57" s="590" t="s">
        <v>2651</v>
      </c>
      <c r="C57" s="591"/>
      <c r="D57" s="591"/>
      <c r="E57" s="591"/>
      <c r="F57" s="591"/>
      <c r="G57" s="591"/>
    </row>
    <row r="58" ht="12.75" customHeight="1">
      <c r="B58" s="592" t="s">
        <v>2652</v>
      </c>
    </row>
    <row r="59" ht="12.75" customHeight="1">
      <c r="B59" s="592" t="s">
        <v>2653</v>
      </c>
    </row>
    <row r="60" ht="12.75" customHeight="1">
      <c r="B60" s="592" t="s">
        <v>2654</v>
      </c>
    </row>
    <row r="61" ht="12.75" customHeight="1">
      <c r="B61" s="592" t="s">
        <v>2655</v>
      </c>
    </row>
    <row r="62" ht="12.75" customHeight="1">
      <c r="B62" s="592" t="s">
        <v>2656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8BA0D78-A6E7-1578-BCE3-40948B8D98EF}" mc:Ignorable="x14ac xr xr2 xr3">
  <dimension ref="A1:GR50000"/>
  <sheetViews>
    <sheetView topLeftCell="A1" workbookViewId="0">
      <selection activeCell="A1" sqref="A1"/>
    </sheetView>
  </sheetViews>
  <sheetFormatPr defaultRowHeight="15" defaultColWidth="7.75390625" customHeight="1"/>
  <cols>
    <col min="1" max="1" width="0.625" customWidth="1"/>
    <col min="2" max="2" width="50.125" customWidth="1"/>
    <col min="3" max="3" width="11.25390625" customWidth="1"/>
    <col min="4" max="4" width="32.125" customWidth="1"/>
    <col min="5" max="8" width="11.25390625" customWidth="1"/>
    <col min="9" max="9" width="12.50390625" customWidth="1"/>
  </cols>
  <sheetData>
    <row r="2" ht="21" customHeight="1">
      <c r="B2" s="472" t="s">
        <v>2657</v>
      </c>
    </row>
    <row r="3" ht="13.5" customHeight="1">
      <c r="B3" s="473" t="s">
        <v>2658</v>
      </c>
    </row>
    <row r="5" ht="15" customHeight="1">
      <c r="B5" s="504" t="s">
        <v>2659</v>
      </c>
      <c r="C5" s="505"/>
      <c r="D5" s="505"/>
      <c r="E5" s="505"/>
      <c r="F5" s="505"/>
      <c r="G5" s="505"/>
    </row>
    <row r="6" ht="12.75" customHeight="1">
      <c r="B6" s="518" t="s">
        <v>2637</v>
      </c>
      <c r="C6" s="518" t="s">
        <v>2660</v>
      </c>
      <c r="D6" s="518" t="s">
        <v>2661</v>
      </c>
      <c r="E6" s="518" t="s">
        <v>2662</v>
      </c>
      <c r="F6" s="518" t="s">
        <v>115</v>
      </c>
      <c r="G6" s="518" t="s">
        <v>118</v>
      </c>
    </row>
    <row r="7" ht="16.5" customHeight="1">
      <c r="B7" s="184" t="s">
        <v>2663</v>
      </c>
      <c r="C7" s="593">
        <v>-0.01</v>
      </c>
      <c r="D7" s="593">
        <v>0.03</v>
      </c>
      <c r="E7" s="593">
        <v>0.05</v>
      </c>
      <c r="F7" s="577">
        <v>0.032</v>
      </c>
      <c r="G7" s="184" t="s">
        <v>2664</v>
      </c>
    </row>
    <row r="8" ht="16.5" customHeight="1">
      <c r="B8" s="184" t="s">
        <v>2665</v>
      </c>
      <c r="C8" s="593">
        <v>0.9</v>
      </c>
      <c r="D8" s="593">
        <v>0.95</v>
      </c>
      <c r="E8" s="593">
        <v>0.97</v>
      </c>
      <c r="F8" s="577">
        <v>0.952</v>
      </c>
      <c r="G8" s="184" t="s">
        <v>2666</v>
      </c>
    </row>
    <row r="9" ht="16.5" customHeight="1">
      <c r="B9" s="184" t="s">
        <v>2667</v>
      </c>
      <c r="C9" s="593">
        <v>0.05</v>
      </c>
      <c r="D9" s="593">
        <v>0.025</v>
      </c>
      <c r="E9" s="593">
        <v>0.015</v>
      </c>
      <c r="F9" s="577">
        <v>0.025</v>
      </c>
      <c r="G9" s="184" t="s">
        <v>2668</v>
      </c>
    </row>
    <row r="10" ht="16.5" customHeight="1">
      <c r="B10" s="184" t="s">
        <v>1011</v>
      </c>
      <c r="C10" s="593">
        <v>0.04</v>
      </c>
      <c r="D10" s="593">
        <v>0.02</v>
      </c>
      <c r="E10" s="593">
        <v>0.01</v>
      </c>
      <c r="F10" s="577">
        <v>0.025</v>
      </c>
      <c r="G10" s="184" t="s">
        <v>2669</v>
      </c>
    </row>
    <row r="11" ht="16.5" customHeight="1">
      <c r="B11" s="184" t="s">
        <v>2670</v>
      </c>
      <c r="C11" s="594">
        <v>1200</v>
      </c>
      <c r="D11" s="594">
        <v>800</v>
      </c>
      <c r="E11" s="594">
        <v>600</v>
      </c>
      <c r="F11" s="595">
        <v>780</v>
      </c>
      <c r="G11" s="184" t="s">
        <v>2671</v>
      </c>
    </row>
    <row r="14" ht="15" customHeight="1">
      <c r="B14" s="492" t="s">
        <v>2672</v>
      </c>
      <c r="C14" s="158"/>
      <c r="D14" s="158"/>
      <c r="E14" s="158"/>
      <c r="F14" s="158"/>
      <c r="G14" s="158"/>
    </row>
    <row r="15" ht="16.5" customHeight="1">
      <c r="B15" s="184" t="s">
        <v>210</v>
      </c>
      <c r="C15" s="596">
        <v>248</v>
      </c>
      <c r="D15" s="184" t="s">
        <v>2673</v>
      </c>
    </row>
    <row r="16" ht="16.5" customHeight="1">
      <c r="B16" s="184" t="s">
        <v>2674</v>
      </c>
      <c r="C16" s="597">
        <v>1800</v>
      </c>
      <c r="D16" s="184" t="s">
        <v>1276</v>
      </c>
    </row>
    <row r="17" ht="16.5" customHeight="1">
      <c r="B17" s="184" t="s">
        <v>2675</v>
      </c>
      <c r="C17" s="598">
        <v>0.04</v>
      </c>
      <c r="D17" s="184" t="s">
        <v>988</v>
      </c>
    </row>
    <row r="18" ht="16.5" customHeight="1">
      <c r="B18" s="184" t="s">
        <v>2676</v>
      </c>
      <c r="C18" s="597">
        <v>11750</v>
      </c>
      <c r="D18" s="184" t="s">
        <v>1276</v>
      </c>
    </row>
    <row r="19" ht="16.5" customHeight="1">
      <c r="B19" s="184" t="s">
        <v>2677</v>
      </c>
      <c r="C19" s="596">
        <v>1500000</v>
      </c>
      <c r="D19" s="184" t="s">
        <v>981</v>
      </c>
    </row>
    <row r="22" ht="15" customHeight="1">
      <c r="B22" s="497" t="s">
        <v>2678</v>
      </c>
      <c r="C22" s="498"/>
      <c r="D22" s="498"/>
      <c r="E22" s="498"/>
      <c r="F22" s="498"/>
      <c r="G22" s="498"/>
    </row>
    <row r="23" ht="12.75" customHeight="1">
      <c r="B23" s="516" t="s">
        <v>19</v>
      </c>
      <c r="C23" s="516" t="s">
        <v>2660</v>
      </c>
      <c r="D23" s="516" t="s">
        <v>2661</v>
      </c>
      <c r="E23" s="516" t="s">
        <v>2662</v>
      </c>
      <c r="F23" s="516" t="s">
        <v>2679</v>
      </c>
      <c r="G23" s="516" t="s">
        <v>2680</v>
      </c>
    </row>
    <row r="24" ht="16.5" customHeight="1">
      <c r="B24" s="184" t="s">
        <v>1283</v>
      </c>
      <c r="C24" s="185">
        <f t="shared" si="0" ref="C24:E24">_xlfn.IFERROR($C$15*$C$16*12*(1+C7),0)</f>
        <v>5303232</v>
      </c>
      <c r="D24" s="185">
        <f t="shared" si="0"/>
        <v>5517504</v>
      </c>
      <c r="E24" s="185">
        <f t="shared" si="0"/>
        <v>5624640</v>
      </c>
      <c r="F24" s="185">
        <f t="shared" si="2" ref="F24:F39">_xlfn.IFERROR(C24-D24,0)</f>
        <v>-214272</v>
      </c>
      <c r="G24" s="185">
        <f t="shared" si="3" ref="G24:G39">_xlfn.IFERROR(E24-D24,0)</f>
        <v>107136</v>
      </c>
    </row>
    <row r="25" ht="16.5" customHeight="1">
      <c r="B25" s="184" t="s">
        <v>2681</v>
      </c>
      <c r="C25" s="185">
        <f t="shared" si="1" ref="C25:E25">_xlfn.IFERROR(C24*C8,0)</f>
        <v>4772908.8</v>
      </c>
      <c r="D25" s="185">
        <f t="shared" si="1"/>
        <v>5241628.8</v>
      </c>
      <c r="E25" s="185">
        <f t="shared" si="1"/>
        <v>5455900.8</v>
      </c>
      <c r="F25" s="185">
        <f t="shared" si="2"/>
        <v>-468720</v>
      </c>
      <c r="G25" s="185">
        <f t="shared" si="3"/>
        <v>214272</v>
      </c>
    </row>
    <row r="26" ht="16.5" customHeight="1">
      <c r="B26" s="184" t="s">
        <v>1620</v>
      </c>
      <c r="C26" s="185">
        <f t="shared" si="4" ref="C26:E26">_xlfn.IFERROR(C25*$C$17,0)</f>
        <v>190916.352</v>
      </c>
      <c r="D26" s="185">
        <f t="shared" si="4"/>
        <v>209665.152</v>
      </c>
      <c r="E26" s="185">
        <f t="shared" si="4"/>
        <v>218236.032</v>
      </c>
      <c r="F26" s="185">
        <f t="shared" si="2"/>
        <v>-18748.8</v>
      </c>
      <c r="G26" s="185">
        <f t="shared" si="3"/>
        <v>8570.88</v>
      </c>
    </row>
    <row r="27" ht="16.5" customHeight="1">
      <c r="B27" s="184" t="s">
        <v>2682</v>
      </c>
      <c r="C27" s="185">
        <f t="shared" si="5" ref="C27:E27">_xlfn.IFERROR(-C25*C10,0)</f>
        <v>-190916.352</v>
      </c>
      <c r="D27" s="185">
        <f t="shared" si="5"/>
        <v>-104832.576</v>
      </c>
      <c r="E27" s="185">
        <f t="shared" si="5"/>
        <v>-54559.008</v>
      </c>
      <c r="F27" s="185">
        <f t="shared" si="2"/>
        <v>-86083.776</v>
      </c>
      <c r="G27" s="185">
        <f t="shared" si="3"/>
        <v>50273.568</v>
      </c>
    </row>
    <row r="28" ht="13.5" customHeight="1">
      <c r="B28" s="569" t="s">
        <v>6</v>
      </c>
      <c r="C28" s="571">
        <f t="shared" si="6" ref="C28:E28">_xlfn.IFERROR(C25+C26+C27,0)</f>
        <v>4772908.8</v>
      </c>
      <c r="D28" s="571">
        <f t="shared" si="6"/>
        <v>5346461.376</v>
      </c>
      <c r="E28" s="571">
        <f t="shared" si="6"/>
        <v>5619577.824</v>
      </c>
      <c r="F28" s="571">
        <f t="shared" si="2"/>
        <v>-573552.576</v>
      </c>
      <c r="G28" s="571">
        <f t="shared" si="3"/>
        <v>273116.448</v>
      </c>
    </row>
    <row r="30" ht="16.5" customHeight="1">
      <c r="B30" s="184" t="s">
        <v>2635</v>
      </c>
      <c r="C30" s="185">
        <f t="shared" si="7" ref="C30:E30">_xlfn.IFERROR($C$18*$C$15*(1+C9),0)</f>
        <v>3059700</v>
      </c>
      <c r="D30" s="185">
        <f t="shared" si="7"/>
        <v>2986850</v>
      </c>
      <c r="E30" s="185">
        <f t="shared" si="7"/>
        <v>2957710</v>
      </c>
      <c r="F30" s="185">
        <f t="shared" si="2"/>
        <v>72850</v>
      </c>
      <c r="G30" s="185">
        <f t="shared" si="3"/>
        <v>-29140</v>
      </c>
    </row>
    <row r="31" ht="16.5" customHeight="1">
      <c r="B31" s="184" t="s">
        <v>2629</v>
      </c>
      <c r="C31" s="185">
        <f t="shared" si="8" ref="C31:E31">_xlfn.IFERROR(C11*$C$15,0)</f>
        <v>297600</v>
      </c>
      <c r="D31" s="185">
        <f t="shared" si="8"/>
        <v>198400</v>
      </c>
      <c r="E31" s="185">
        <f t="shared" si="8"/>
        <v>148800</v>
      </c>
      <c r="F31" s="185">
        <f t="shared" si="2"/>
        <v>99200</v>
      </c>
      <c r="G31" s="185">
        <f t="shared" si="3"/>
        <v>-49600</v>
      </c>
    </row>
    <row r="33" ht="13.5" customHeight="1">
      <c r="B33" s="574" t="s">
        <v>1849</v>
      </c>
      <c r="C33" s="576">
        <f t="shared" si="9" ref="C33:E33">_xlfn.IFERROR(C28-C30,0)</f>
        <v>1713208.8</v>
      </c>
      <c r="D33" s="576">
        <f t="shared" si="9"/>
        <v>2359611.376</v>
      </c>
      <c r="E33" s="576">
        <f t="shared" si="9"/>
        <v>2661867.824</v>
      </c>
      <c r="F33" s="576">
        <f t="shared" si="2"/>
        <v>-646402.576</v>
      </c>
      <c r="G33" s="576">
        <f t="shared" si="3"/>
        <v>302256.448</v>
      </c>
    </row>
    <row r="34" ht="16.5" customHeight="1">
      <c r="B34" s="184" t="s">
        <v>8</v>
      </c>
      <c r="C34" s="378">
        <f t="shared" si="10" ref="C34:E34">_xlfn.IFERROR(C33/C28,0)</f>
        <v>0.35894438209253</v>
      </c>
      <c r="D34" s="378">
        <f t="shared" si="10"/>
        <v>0.441340769165972</v>
      </c>
      <c r="E34" s="378">
        <f t="shared" si="10"/>
        <v>0.473677544357823</v>
      </c>
      <c r="F34" s="378">
        <f t="shared" si="2"/>
        <v>-0.082396387073442</v>
      </c>
      <c r="G34" s="378">
        <f t="shared" si="3"/>
        <v>0.032336775191851</v>
      </c>
    </row>
    <row r="36" ht="16.5" customHeight="1">
      <c r="B36" s="184" t="s">
        <v>2630</v>
      </c>
      <c r="C36" s="185">
        <f t="shared" si="11" ref="C36:E36">_xlfn.IFERROR($C$19,0)</f>
        <v>1500000</v>
      </c>
      <c r="D36" s="185">
        <f t="shared" si="11"/>
        <v>1500000</v>
      </c>
      <c r="E36" s="185">
        <f t="shared" si="11"/>
        <v>1500000</v>
      </c>
      <c r="F36" s="185">
        <f t="shared" si="2"/>
        <v>0</v>
      </c>
      <c r="G36" s="185">
        <f t="shared" si="3"/>
        <v>0</v>
      </c>
    </row>
    <row r="37" ht="13.5" customHeight="1">
      <c r="B37" s="525" t="s">
        <v>181</v>
      </c>
      <c r="C37" s="599">
        <f t="shared" si="12" ref="C37:E37">_xlfn.IFERROR(C33-C31-C36,0)</f>
        <v>-84391.2</v>
      </c>
      <c r="D37" s="599">
        <f t="shared" si="12"/>
        <v>661211.376</v>
      </c>
      <c r="E37" s="599">
        <f t="shared" si="12"/>
        <v>1013067.824</v>
      </c>
      <c r="F37" s="599">
        <f t="shared" si="2"/>
        <v>-745602.576</v>
      </c>
      <c r="G37" s="599">
        <f t="shared" si="3"/>
        <v>351856.448</v>
      </c>
    </row>
    <row r="38" ht="16.5" customHeight="1">
      <c r="B38" s="184" t="s">
        <v>34</v>
      </c>
      <c r="C38" s="600">
        <f t="shared" si="13" ref="C38:E38">_xlfn.IFERROR(C33/C36,0)</f>
        <v>1.1421392</v>
      </c>
      <c r="D38" s="600">
        <f t="shared" si="13"/>
        <v>1.57307425066667</v>
      </c>
      <c r="E38" s="600">
        <f t="shared" si="13"/>
        <v>1.77457854933333</v>
      </c>
      <c r="F38" s="600">
        <f t="shared" si="2"/>
        <v>-0.43093505066667</v>
      </c>
      <c r="G38" s="600">
        <f t="shared" si="3"/>
        <v>0.20150429866666</v>
      </c>
    </row>
    <row r="39" ht="16.5" customHeight="1">
      <c r="B39" s="184" t="s">
        <v>2683</v>
      </c>
      <c r="C39" s="186">
        <f t="shared" si="14" ref="C39:E39">_xlfn.IFERROR(C37/20000000,0)</f>
        <v>-0.00421956</v>
      </c>
      <c r="D39" s="186">
        <f t="shared" si="14"/>
        <v>0.0330605688</v>
      </c>
      <c r="E39" s="186">
        <f t="shared" si="14"/>
        <v>0.0506533912</v>
      </c>
      <c r="F39" s="186">
        <f t="shared" si="2"/>
        <v>-0.0372801288</v>
      </c>
      <c r="G39" s="186">
        <f t="shared" si="3"/>
        <v>0.0175928224</v>
      </c>
    </row>
    <row r="42" ht="15" customHeight="1">
      <c r="B42" s="486" t="s">
        <v>2684</v>
      </c>
      <c r="C42" s="487"/>
      <c r="D42" s="487"/>
      <c r="E42" s="487"/>
      <c r="F42" s="487"/>
      <c r="G42" s="487"/>
      <c r="H42" s="487"/>
      <c r="I42" s="487"/>
    </row>
    <row r="44" ht="13.5" customHeight="1">
      <c r="B44" s="531" t="s">
        <v>2685</v>
      </c>
      <c r="C44" s="532"/>
      <c r="D44" s="532"/>
      <c r="E44" s="532"/>
      <c r="F44" s="532"/>
      <c r="G44" s="532"/>
    </row>
    <row r="45" ht="16.5" customHeight="1">
      <c r="B45" s="184" t="s">
        <v>2686</v>
      </c>
      <c r="C45" s="378">
        <v>-0.02</v>
      </c>
      <c r="D45" s="378">
        <v>0</v>
      </c>
      <c r="E45" s="378">
        <v>0.02</v>
      </c>
      <c r="F45" s="378">
        <v>0.03</v>
      </c>
      <c r="G45" s="378">
        <v>0.04</v>
      </c>
      <c r="H45" s="378">
        <v>0.05</v>
      </c>
    </row>
    <row r="46" ht="16.5" customHeight="1">
      <c r="B46" s="184" t="s">
        <v>2687</v>
      </c>
      <c r="C46" s="185">
        <v>2096084.67136</v>
      </c>
      <c r="D46" s="185">
        <v>2199818.0320000006</v>
      </c>
      <c r="E46" s="185">
        <v>2303551.39264</v>
      </c>
      <c r="F46" s="185">
        <v>2355418.0729599996</v>
      </c>
      <c r="G46" s="185">
        <v>2407284.75328</v>
      </c>
      <c r="H46" s="185">
        <v>2459151.4336</v>
      </c>
    </row>
    <row r="47" ht="16.5" customHeight="1">
      <c r="B47" s="184" t="s">
        <v>2688</v>
      </c>
      <c r="C47" s="185">
        <f t="shared" si="15" ref="C47:D52">C46-E46</f>
        <v>-207466.72128</v>
      </c>
      <c r="D47" s="185">
        <f t="shared" si="16" ref="D47:E52">D46-E46</f>
        <v>-103733.36064</v>
      </c>
      <c r="E47" s="185">
        <f t="shared" si="17" ref="E47:F52">E46-E46</f>
        <v>0</v>
      </c>
      <c r="F47" s="185">
        <f t="shared" si="18" ref="F47:G52">F46-E46</f>
        <v>51866.6803199993</v>
      </c>
      <c r="G47" s="185">
        <f t="shared" si="19" ref="G47:H52">G46-E46</f>
        <v>103733.36064</v>
      </c>
      <c r="H47" s="185">
        <f>H46-E46</f>
        <v>155600.04096</v>
      </c>
    </row>
    <row r="49" ht="13.5" customHeight="1">
      <c r="B49" s="601" t="s">
        <v>2689</v>
      </c>
      <c r="C49" s="602"/>
      <c r="D49" s="602"/>
      <c r="E49" s="602"/>
      <c r="F49" s="602"/>
      <c r="G49" s="602"/>
    </row>
    <row r="50" ht="16.5" customHeight="1">
      <c r="B50" s="184" t="s">
        <v>42</v>
      </c>
      <c r="C50" s="378">
        <v>0.88</v>
      </c>
      <c r="D50" s="378">
        <v>0.9</v>
      </c>
      <c r="E50" s="378">
        <v>0.93</v>
      </c>
      <c r="F50" s="378">
        <v>0.95</v>
      </c>
      <c r="G50" s="378">
        <v>0.97</v>
      </c>
      <c r="H50" s="378">
        <v>0.99</v>
      </c>
    </row>
    <row r="51" ht="16.5" customHeight="1">
      <c r="B51" s="184" t="s">
        <v>2687</v>
      </c>
      <c r="C51" s="558">
        <v>1961777.2675840007</v>
      </c>
      <c r="D51" s="558">
        <v>2074246.069120001</v>
      </c>
      <c r="E51" s="559">
        <v>2242949.271424001</v>
      </c>
      <c r="F51" s="559">
        <v>2355418.0729599996</v>
      </c>
      <c r="G51" s="560">
        <v>2467886.874496</v>
      </c>
      <c r="H51" s="560">
        <v>2580355.676032</v>
      </c>
    </row>
    <row r="52" ht="16.5" customHeight="1">
      <c r="B52" s="184" t="s">
        <v>2688</v>
      </c>
      <c r="C52" s="185">
        <f>C51-F51</f>
        <v>-393640.805375999</v>
      </c>
      <c r="D52" s="185">
        <f t="shared" si="15"/>
        <v>-281172.003839999</v>
      </c>
      <c r="E52" s="185">
        <f t="shared" si="16"/>
        <v>-112468.801535998</v>
      </c>
      <c r="F52" s="185">
        <f t="shared" si="17"/>
        <v>0</v>
      </c>
      <c r="G52" s="185">
        <f t="shared" si="18"/>
        <v>112468.801536</v>
      </c>
      <c r="H52" s="185">
        <f t="shared" si="19"/>
        <v>224937.603072001</v>
      </c>
    </row>
    <row r="55" ht="15" customHeight="1">
      <c r="B55" s="492" t="s">
        <v>2690</v>
      </c>
      <c r="C55" s="158"/>
      <c r="D55" s="158"/>
      <c r="E55" s="158"/>
      <c r="F55" s="158"/>
      <c r="G55" s="158"/>
      <c r="H55" s="158"/>
      <c r="I55" s="158"/>
    </row>
    <row r="56" ht="16.5" customHeight="1">
      <c r="B56" s="184" t="s">
        <v>2691</v>
      </c>
      <c r="C56" s="603">
        <v>0</v>
      </c>
      <c r="D56" s="603">
        <v>0.02</v>
      </c>
      <c r="E56" s="603">
        <v>0.03</v>
      </c>
      <c r="F56" s="603">
        <v>0.04</v>
      </c>
      <c r="G56" s="603">
        <v>0.05</v>
      </c>
    </row>
    <row r="57" ht="16.5" customHeight="1">
      <c r="B57" s="604">
        <v>0.9</v>
      </c>
      <c r="C57" s="389">
        <v>1926.8355039999997</v>
      </c>
      <c r="D57" s="389">
        <v>2025.1092140800004</v>
      </c>
      <c r="E57" s="389">
        <v>2074.2460691200013</v>
      </c>
      <c r="F57" s="389">
        <v>2123.38292416</v>
      </c>
      <c r="G57" s="389">
        <v>2172.5197792</v>
      </c>
    </row>
    <row r="58" ht="16.5" customHeight="1">
      <c r="B58" s="604">
        <v>0.92</v>
      </c>
      <c r="C58" s="389">
        <v>2036.0285152000004</v>
      </c>
      <c r="D58" s="389">
        <v>2136.486085504</v>
      </c>
      <c r="E58" s="389">
        <v>2186.7148706560015</v>
      </c>
      <c r="F58" s="389">
        <v>2236.9436558079997</v>
      </c>
      <c r="G58" s="389">
        <v>2287.17244096</v>
      </c>
    </row>
    <row r="59" ht="16.5" customHeight="1">
      <c r="B59" s="604">
        <v>0.94</v>
      </c>
      <c r="C59" s="389">
        <v>2145.2215264000006</v>
      </c>
      <c r="D59" s="389">
        <v>2247.8629569280006</v>
      </c>
      <c r="E59" s="389">
        <v>2299.183672192</v>
      </c>
      <c r="F59" s="389">
        <v>2350.5043874559997</v>
      </c>
      <c r="G59" s="389">
        <v>2401.82510272</v>
      </c>
    </row>
    <row r="60" ht="16.5" customHeight="1">
      <c r="B60" s="604">
        <v>0.95</v>
      </c>
      <c r="C60" s="389">
        <v>2199.8180320000006</v>
      </c>
      <c r="D60" s="389">
        <v>2303.5513926400004</v>
      </c>
      <c r="E60" s="605">
        <v>2355.4180729599993</v>
      </c>
      <c r="F60" s="389">
        <v>2407.2847532799997</v>
      </c>
      <c r="G60" s="389">
        <v>2459.1514336</v>
      </c>
    </row>
    <row r="61" ht="16.5" customHeight="1">
      <c r="B61" s="604">
        <v>0.96</v>
      </c>
      <c r="C61" s="389">
        <v>2254.4145376000006</v>
      </c>
      <c r="D61" s="389">
        <v>2359.2398283519997</v>
      </c>
      <c r="E61" s="389">
        <v>2411.652473727999</v>
      </c>
      <c r="F61" s="389">
        <v>2464.0651191040006</v>
      </c>
      <c r="G61" s="389">
        <v>2516.477764479999</v>
      </c>
    </row>
    <row r="62" ht="16.5" customHeight="1">
      <c r="B62" s="604">
        <v>0.98</v>
      </c>
      <c r="C62" s="389">
        <v>2363.6075488</v>
      </c>
      <c r="D62" s="389">
        <v>2470.616699776</v>
      </c>
      <c r="E62" s="389">
        <v>2524.1212752639995</v>
      </c>
      <c r="F62" s="389">
        <v>2577.6258507519997</v>
      </c>
      <c r="G62" s="389">
        <v>2631.13042624</v>
      </c>
    </row>
    <row r="65" ht="15" customHeight="1">
      <c r="B65" s="480" t="s">
        <v>2692</v>
      </c>
      <c r="C65" s="481"/>
      <c r="D65" s="481"/>
      <c r="E65" s="481"/>
      <c r="F65" s="504" t="s">
        <v>2693</v>
      </c>
      <c r="G65" s="505"/>
    </row>
    <row r="66" ht="16.5" customHeight="1">
      <c r="B66" s="556" t="s">
        <v>19</v>
      </c>
      <c r="C66" s="556" t="s">
        <v>517</v>
      </c>
      <c r="D66" s="556" t="s">
        <v>2694</v>
      </c>
      <c r="F66" s="184" t="s">
        <v>2695</v>
      </c>
      <c r="G66" s="606" t="s">
        <v>2696</v>
      </c>
    </row>
    <row r="67" ht="16.5" customHeight="1">
      <c r="B67" s="184" t="s">
        <v>2697</v>
      </c>
      <c r="C67" s="378">
        <f>($C$18*$C$15+$C$19)/($C$15*$C$16*12*1.03*1.04*0.98)</f>
        <v>0.784928787311231</v>
      </c>
      <c r="D67" s="184" t="s">
        <v>2698</v>
      </c>
      <c r="F67" s="184" t="s">
        <v>2699</v>
      </c>
      <c r="G67" s="607" t="s">
        <v>2700</v>
      </c>
    </row>
    <row r="68" ht="16.5" customHeight="1">
      <c r="B68" s="184" t="s">
        <v>2701</v>
      </c>
      <c r="C68" s="185">
        <f>$C$15*$C$16*12*1.03*1.04*0.98*0.01</f>
        <v>56234.400768</v>
      </c>
      <c r="D68" s="184" t="s">
        <v>2702</v>
      </c>
      <c r="F68" s="184" t="s">
        <v>2703</v>
      </c>
      <c r="G68" s="607" t="s">
        <v>2704</v>
      </c>
    </row>
    <row r="69" ht="16.5" customHeight="1">
      <c r="B69" s="184" t="s">
        <v>2705</v>
      </c>
      <c r="C69" s="185">
        <f>$C$15*$C$16*12*0.95*1.04*0.98*0.01</f>
        <v>51866.68032</v>
      </c>
      <c r="D69" s="184" t="s">
        <v>2706</v>
      </c>
      <c r="F69" s="184" t="s">
        <v>2707</v>
      </c>
      <c r="G69" s="184" t="s">
        <v>2708</v>
      </c>
    </row>
    <row r="70" ht="16.5" customHeight="1">
      <c r="B70" s="184" t="s">
        <v>2709</v>
      </c>
      <c r="C70" s="600">
        <f>D38-1.2</f>
        <v>0.37307425066667</v>
      </c>
      <c r="D70" s="184" t="s">
        <v>2710</v>
      </c>
    </row>
    <row r="71" ht="16.5" customHeight="1">
      <c r="B71" s="184" t="s">
        <v>2711</v>
      </c>
      <c r="C71" s="184" t="str">
        <f>IF(C38&lt;1.2,"⚠ COVENANT BREACH","✓ OK")</f>
        <v>⚠ COVENANT BREACH</v>
      </c>
      <c r="D71" s="184" t="s">
        <v>2713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CDCD81D-1999-7048-0323-EF86E3AA01B1}" mc:Ignorable="x14ac xr xr2 xr3">
  <dimension ref="A1:GR50000"/>
  <sheetViews>
    <sheetView topLeftCell="A1" workbookViewId="0">
      <selection activeCell="A1" sqref="A1"/>
    </sheetView>
  </sheetViews>
  <sheetFormatPr defaultRowHeight="15" defaultColWidth="7.75390625" customHeight="1"/>
  <cols>
    <col min="1" max="1" width="0.625" customWidth="1"/>
    <col min="2" max="2" width="49.375" customWidth="1"/>
    <col min="3" max="4" width="12.50390625" customWidth="1"/>
    <col min="5" max="5" width="40.375" customWidth="1"/>
    <col min="6" max="7" width="12.50390625" customWidth="1"/>
    <col min="8" max="8" width="12.25390625" customWidth="1"/>
  </cols>
  <sheetData>
    <row r="2" ht="21" customHeight="1">
      <c r="B2" s="472" t="s">
        <v>2714</v>
      </c>
    </row>
    <row r="3" ht="13.5" customHeight="1">
      <c r="B3" s="473" t="s">
        <v>2715</v>
      </c>
    </row>
    <row r="5" ht="15" customHeight="1">
      <c r="B5" s="508" t="s">
        <v>2716</v>
      </c>
      <c r="C5" s="509"/>
      <c r="D5" s="509"/>
      <c r="E5" s="509"/>
      <c r="F5" s="509"/>
      <c r="G5" s="509"/>
      <c r="H5" s="509"/>
    </row>
    <row r="6" ht="13.5" customHeight="1">
      <c r="B6" s="608" t="s">
        <v>2717</v>
      </c>
      <c r="C6" s="533" t="s">
        <v>2718</v>
      </c>
      <c r="D6" s="528" t="s">
        <v>2719</v>
      </c>
      <c r="E6" s="525" t="s">
        <v>2720</v>
      </c>
      <c r="F6" s="608" t="s">
        <v>2721</v>
      </c>
    </row>
    <row r="7" ht="15.75" customHeight="1">
      <c r="B7" s="184" t="s">
        <v>2686</v>
      </c>
      <c r="C7" s="184">
        <f>-1.0%</f>
        <v>-0.01</v>
      </c>
      <c r="D7" s="184" t="s">
        <v>2722</v>
      </c>
      <c r="E7" s="184" t="s">
        <v>2723</v>
      </c>
      <c r="F7" s="184">
        <v>0</v>
      </c>
    </row>
    <row r="8" ht="15.75" customHeight="1">
      <c r="B8" s="184" t="s">
        <v>42</v>
      </c>
      <c r="C8" s="184" t="s">
        <v>2724</v>
      </c>
      <c r="D8" s="184" t="s">
        <v>2725</v>
      </c>
      <c r="E8" s="184" t="s">
        <v>2726</v>
      </c>
      <c r="F8" s="184">
        <v>0</v>
      </c>
    </row>
    <row r="9" ht="15.75" customHeight="1">
      <c r="B9" s="184" t="s">
        <v>2667</v>
      </c>
      <c r="C9" s="184" t="s">
        <v>2723</v>
      </c>
      <c r="D9" s="184" t="s">
        <v>2644</v>
      </c>
      <c r="E9" s="184" t="s">
        <v>2727</v>
      </c>
      <c r="F9" s="184">
        <v>0</v>
      </c>
    </row>
    <row r="10" ht="15.75" customHeight="1">
      <c r="B10" s="184" t="s">
        <v>2728</v>
      </c>
      <c r="C10" s="184" t="s">
        <v>2729</v>
      </c>
      <c r="D10" s="184" t="s">
        <v>2730</v>
      </c>
      <c r="E10" s="184" t="s">
        <v>2731</v>
      </c>
      <c r="F10" s="184">
        <v>0</v>
      </c>
    </row>
    <row r="11" ht="12.75" customHeight="1">
      <c r="B11" s="516" t="s">
        <v>2732</v>
      </c>
      <c r="C11" s="516" t="s">
        <v>2733</v>
      </c>
      <c r="D11" s="516" t="s">
        <v>2734</v>
      </c>
      <c r="E11" s="516" t="s">
        <v>2733</v>
      </c>
      <c r="F11" s="516" t="s">
        <v>2570</v>
      </c>
    </row>
    <row r="14" ht="15" customHeight="1">
      <c r="B14" s="492" t="s">
        <v>2735</v>
      </c>
      <c r="C14" s="158"/>
      <c r="D14" s="158"/>
      <c r="E14" s="158"/>
      <c r="F14" s="158"/>
      <c r="G14" s="158"/>
      <c r="H14" s="158"/>
    </row>
    <row r="15" ht="12.75" customHeight="1">
      <c r="B15" s="537" t="s">
        <v>19</v>
      </c>
      <c r="C15" s="537" t="s">
        <v>2718</v>
      </c>
      <c r="D15" s="537" t="s">
        <v>2719</v>
      </c>
      <c r="E15" s="537" t="s">
        <v>2720</v>
      </c>
      <c r="F15" s="537" t="s">
        <v>2736</v>
      </c>
      <c r="G15" s="537" t="s">
        <v>2737</v>
      </c>
      <c r="H15" s="537" t="s">
        <v>2738</v>
      </c>
    </row>
    <row r="16" ht="15.75" customHeight="1">
      <c r="B16" s="184" t="s">
        <v>1283</v>
      </c>
      <c r="C16" s="185">
        <f>_xlfn.IFERROR(Sensitivity_Analysis!C24,0)</f>
        <v>5303232</v>
      </c>
      <c r="D16" s="185">
        <f>_xlfn.IFERROR(Sensitivity_Analysis!D24,0)</f>
        <v>5517504</v>
      </c>
      <c r="E16" s="185">
        <f>_xlfn.IFERROR(Sensitivity_Analysis!E24,0)</f>
        <v>5624640</v>
      </c>
      <c r="F16" s="185">
        <f t="shared" si="0" ref="F16:F25">_xlfn.IFERROR(C16-D16,0)</f>
        <v>-214272</v>
      </c>
      <c r="G16" s="185">
        <f t="shared" si="1" ref="G16:G25">_xlfn.IFERROR(E16-D16,0)</f>
        <v>107136</v>
      </c>
      <c r="H16" s="185">
        <f t="shared" si="2" ref="H16:H25">_xlfn.IFERROR(C16*0.2+D16*0.6+E16*0.2,0)</f>
        <v>5496076.8</v>
      </c>
    </row>
    <row r="17" ht="15.75" customHeight="1">
      <c r="B17" s="184" t="s">
        <v>2739</v>
      </c>
      <c r="C17" s="185">
        <f>_xlfn.IFERROR(Sensitivity_Analysis!C25,0)</f>
        <v>4772908.8</v>
      </c>
      <c r="D17" s="185">
        <f>_xlfn.IFERROR(Sensitivity_Analysis!D25,0)</f>
        <v>5241628.8</v>
      </c>
      <c r="E17" s="185">
        <f>_xlfn.IFERROR(Sensitivity_Analysis!E25,0)</f>
        <v>5455900.8</v>
      </c>
      <c r="F17" s="185">
        <f t="shared" si="0"/>
        <v>-468720</v>
      </c>
      <c r="G17" s="185">
        <f t="shared" si="1"/>
        <v>214272</v>
      </c>
      <c r="H17" s="185">
        <f t="shared" si="2"/>
        <v>5190739.2</v>
      </c>
    </row>
    <row r="18" ht="15.75" customHeight="1">
      <c r="B18" s="184" t="s">
        <v>1620</v>
      </c>
      <c r="C18" s="185">
        <f>_xlfn.IFERROR(Sensitivity_Analysis!C26,0)</f>
        <v>190916.352</v>
      </c>
      <c r="D18" s="185">
        <f>_xlfn.IFERROR(Sensitivity_Analysis!D26,0)</f>
        <v>209665.152</v>
      </c>
      <c r="E18" s="185">
        <f>_xlfn.IFERROR(Sensitivity_Analysis!E26,0)</f>
        <v>218236.032</v>
      </c>
      <c r="F18" s="185">
        <f t="shared" si="0"/>
        <v>-18748.8</v>
      </c>
      <c r="G18" s="185">
        <f t="shared" si="1"/>
        <v>8570.88</v>
      </c>
      <c r="H18" s="185">
        <f t="shared" si="2"/>
        <v>207629.568</v>
      </c>
    </row>
    <row r="19" ht="15.75" customHeight="1">
      <c r="B19" s="184" t="s">
        <v>2682</v>
      </c>
      <c r="C19" s="185">
        <f>_xlfn.IFERROR(Sensitivity_Analysis!C27,0)</f>
        <v>-190916.352</v>
      </c>
      <c r="D19" s="185">
        <f>_xlfn.IFERROR(Sensitivity_Analysis!D27,0)</f>
        <v>-104832.576</v>
      </c>
      <c r="E19" s="185">
        <f>_xlfn.IFERROR(Sensitivity_Analysis!E27,0)</f>
        <v>-54559.008</v>
      </c>
      <c r="F19" s="185">
        <f t="shared" si="0"/>
        <v>-86083.776</v>
      </c>
      <c r="G19" s="185">
        <f t="shared" si="1"/>
        <v>50273.568</v>
      </c>
      <c r="H19" s="185">
        <f t="shared" si="2"/>
        <v>-111994.6176</v>
      </c>
    </row>
    <row r="20" ht="13.5" customHeight="1">
      <c r="B20" s="569" t="s">
        <v>6</v>
      </c>
      <c r="C20" s="571">
        <f>_xlfn.IFERROR(Sensitivity_Analysis!C28,0)</f>
        <v>4772908.8</v>
      </c>
      <c r="D20" s="571">
        <f>_xlfn.IFERROR(Sensitivity_Analysis!D28,0)</f>
        <v>5346461.376</v>
      </c>
      <c r="E20" s="571">
        <f>_xlfn.IFERROR(Sensitivity_Analysis!E28,0)</f>
        <v>5619577.824</v>
      </c>
      <c r="F20" s="571">
        <f t="shared" si="0"/>
        <v>-573552.576</v>
      </c>
      <c r="G20" s="571">
        <f t="shared" si="1"/>
        <v>273116.448</v>
      </c>
      <c r="H20" s="571">
        <f t="shared" si="2"/>
        <v>5286374.1504</v>
      </c>
    </row>
    <row r="21" ht="15.75" customHeight="1">
      <c r="B21" s="184" t="s">
        <v>2635</v>
      </c>
      <c r="C21" s="185">
        <f>_xlfn.IFERROR(Sensitivity_Analysis!C30,0)</f>
        <v>3059700</v>
      </c>
      <c r="D21" s="185">
        <f>_xlfn.IFERROR(Sensitivity_Analysis!D30,0)</f>
        <v>2986850</v>
      </c>
      <c r="E21" s="185">
        <f>_xlfn.IFERROR(Sensitivity_Analysis!E30,0)</f>
        <v>2957710</v>
      </c>
      <c r="F21" s="185">
        <f t="shared" si="0"/>
        <v>72850</v>
      </c>
      <c r="G21" s="185">
        <f t="shared" si="1"/>
        <v>-29140</v>
      </c>
      <c r="H21" s="185">
        <f t="shared" si="2"/>
        <v>2995592</v>
      </c>
    </row>
    <row r="22" ht="13.5" customHeight="1">
      <c r="B22" s="574" t="s">
        <v>7</v>
      </c>
      <c r="C22" s="576">
        <f>_xlfn.IFERROR(Sensitivity_Analysis!C33,0)</f>
        <v>1713208.8</v>
      </c>
      <c r="D22" s="576">
        <f>_xlfn.IFERROR(Sensitivity_Analysis!D33,0)</f>
        <v>2359611.376</v>
      </c>
      <c r="E22" s="576">
        <f>_xlfn.IFERROR(Sensitivity_Analysis!E33,0)</f>
        <v>2661867.824</v>
      </c>
      <c r="F22" s="576">
        <f t="shared" si="0"/>
        <v>-646402.576</v>
      </c>
      <c r="G22" s="576">
        <f t="shared" si="1"/>
        <v>302256.448</v>
      </c>
      <c r="H22" s="576">
        <f t="shared" si="2"/>
        <v>2290782.1504</v>
      </c>
    </row>
    <row r="23" ht="15.75" customHeight="1">
      <c r="B23" s="184" t="s">
        <v>2629</v>
      </c>
      <c r="C23" s="185">
        <f>_xlfn.IFERROR(Sensitivity_Analysis!C31,0)</f>
        <v>297600</v>
      </c>
      <c r="D23" s="185">
        <f>_xlfn.IFERROR(Sensitivity_Analysis!D31,0)</f>
        <v>198400</v>
      </c>
      <c r="E23" s="185">
        <f>_xlfn.IFERROR(Sensitivity_Analysis!E31,0)</f>
        <v>148800</v>
      </c>
      <c r="F23" s="185">
        <f t="shared" si="0"/>
        <v>99200</v>
      </c>
      <c r="G23" s="185">
        <f t="shared" si="1"/>
        <v>-49600</v>
      </c>
      <c r="H23" s="185">
        <f t="shared" si="2"/>
        <v>208320</v>
      </c>
    </row>
    <row r="24" ht="15.75" customHeight="1">
      <c r="B24" s="184" t="s">
        <v>2630</v>
      </c>
      <c r="C24" s="185">
        <f>_xlfn.IFERROR(Sensitivity_Analysis!C36,0)</f>
        <v>1500000</v>
      </c>
      <c r="D24" s="185">
        <f>_xlfn.IFERROR(Sensitivity_Analysis!D36,0)</f>
        <v>1500000</v>
      </c>
      <c r="E24" s="185">
        <f>_xlfn.IFERROR(Sensitivity_Analysis!E36,0)</f>
        <v>1500000</v>
      </c>
      <c r="F24" s="185">
        <f t="shared" si="0"/>
        <v>0</v>
      </c>
      <c r="G24" s="185">
        <f t="shared" si="1"/>
        <v>0</v>
      </c>
      <c r="H24" s="185">
        <f t="shared" si="2"/>
        <v>1500000</v>
      </c>
    </row>
    <row r="25" ht="13.5" customHeight="1">
      <c r="B25" s="525" t="s">
        <v>181</v>
      </c>
      <c r="C25" s="599">
        <f>_xlfn.IFERROR(Sensitivity_Analysis!C37,0)</f>
        <v>-84391.2</v>
      </c>
      <c r="D25" s="599">
        <f>_xlfn.IFERROR(Sensitivity_Analysis!D37,0)</f>
        <v>661211.376</v>
      </c>
      <c r="E25" s="599">
        <f>_xlfn.IFERROR(Sensitivity_Analysis!E37,0)</f>
        <v>1013067.824</v>
      </c>
      <c r="F25" s="599">
        <f t="shared" si="0"/>
        <v>-745602.576</v>
      </c>
      <c r="G25" s="599">
        <f t="shared" si="1"/>
        <v>351856.448</v>
      </c>
      <c r="H25" s="599">
        <f t="shared" si="2"/>
        <v>582462.1504</v>
      </c>
    </row>
    <row r="28" ht="15" customHeight="1">
      <c r="B28" s="497" t="s">
        <v>2740</v>
      </c>
      <c r="C28" s="498"/>
      <c r="D28" s="498"/>
      <c r="E28" s="498"/>
      <c r="F28" s="498"/>
      <c r="G28" s="498"/>
      <c r="H28" s="498"/>
    </row>
    <row r="29" ht="12.75" customHeight="1">
      <c r="B29" s="516" t="s">
        <v>19</v>
      </c>
      <c r="C29" s="516" t="s">
        <v>2718</v>
      </c>
      <c r="D29" s="516" t="s">
        <v>2719</v>
      </c>
      <c r="E29" s="516" t="s">
        <v>2720</v>
      </c>
      <c r="F29" s="516" t="s">
        <v>2741</v>
      </c>
      <c r="G29" s="516" t="s">
        <v>23</v>
      </c>
    </row>
    <row r="30" ht="15.75" customHeight="1">
      <c r="B30" s="184" t="s">
        <v>8</v>
      </c>
      <c r="C30" s="378">
        <f t="shared" si="3" ref="C30:E30">_xlfn.IFERROR(C22/C20,0)</f>
        <v>0.35894438209253</v>
      </c>
      <c r="D30" s="378">
        <f t="shared" si="3"/>
        <v>0.441340769165972</v>
      </c>
      <c r="E30" s="378">
        <f t="shared" si="3"/>
        <v>0.473677544357823</v>
      </c>
      <c r="F30" s="184"/>
      <c r="G30" s="184" t="str">
        <f>_xlfn.IFERROR(IF(D30&gt;=0.45,"✓ Pass","✗ Below"),0)</f>
        <v>✗ Below</v>
      </c>
    </row>
    <row r="31" ht="15.75" customHeight="1">
      <c r="B31" s="184" t="s">
        <v>34</v>
      </c>
      <c r="C31" s="600">
        <f>_xlfn.IFERROR(Sensitivity_Analysis!C38,0)</f>
        <v>1.1421392</v>
      </c>
      <c r="D31" s="600">
        <f>_xlfn.IFERROR(Sensitivity_Analysis!D38,0)</f>
        <v>1.57307425066667</v>
      </c>
      <c r="E31" s="600">
        <f>_xlfn.IFERROR(Sensitivity_Analysis!E38,0)</f>
        <v>1.77457854933333</v>
      </c>
      <c r="F31" s="184"/>
      <c r="G31" s="184" t="str">
        <f>_xlfn.IFERROR(IF(D31&gt;=1.2,"✓ Pass","✗ BREACH"),0)</f>
        <v>✓ Pass</v>
      </c>
    </row>
    <row r="32" ht="15.75" customHeight="1">
      <c r="B32" s="184" t="s">
        <v>2683</v>
      </c>
      <c r="C32" s="186">
        <f>_xlfn.IFERROR(Sensitivity_Analysis!C39,0)</f>
        <v>-0.00421956</v>
      </c>
      <c r="D32" s="186">
        <f>_xlfn.IFERROR(Sensitivity_Analysis!D39,0)</f>
        <v>0.0330605688</v>
      </c>
      <c r="E32" s="186">
        <f>_xlfn.IFERROR(Sensitivity_Analysis!E39,0)</f>
        <v>0.0506533912</v>
      </c>
      <c r="F32" s="184"/>
      <c r="G32" s="184" t="str">
        <f t="shared" si="5" ref="G32:G33">_xlfn.IFERROR(IF(D32&gt;=0.05,"✓ Target","⚠ Below"),0)</f>
        <v>⚠ Below</v>
      </c>
    </row>
    <row r="33" ht="15.75" customHeight="1">
      <c r="B33" s="184" t="s">
        <v>2744</v>
      </c>
      <c r="C33" s="186">
        <f t="shared" si="4" ref="C33:E33">_xlfn.IFERROR(C22/50000000,0)</f>
        <v>0.034264176</v>
      </c>
      <c r="D33" s="186">
        <f t="shared" si="4"/>
        <v>0.04719222752</v>
      </c>
      <c r="E33" s="186">
        <f t="shared" si="4"/>
        <v>0.05323735648</v>
      </c>
      <c r="F33" s="184"/>
      <c r="G33" s="184" t="str">
        <f t="shared" si="5"/>
        <v>⚠ Below</v>
      </c>
    </row>
    <row r="34" ht="15.75" customHeight="1">
      <c r="B34" s="184" t="s">
        <v>2745</v>
      </c>
      <c r="C34" s="378">
        <f>_xlfn.IFERROR(Sensitivity_Analysis!C67,0)</f>
        <v>0.784928787311231</v>
      </c>
      <c r="D34" s="378">
        <f>_xlfn.IFERROR(Sensitivity_Analysis!C67,0)</f>
        <v>0.784928787311231</v>
      </c>
      <c r="E34" s="378">
        <f>_xlfn.IFERROR(Sensitivity_Analysis!C67,0)</f>
        <v>0.784928787311231</v>
      </c>
      <c r="F34" s="184"/>
      <c r="G34" s="184" t="str">
        <f>_xlfn.IFERROR(IF(D34&lt;0.85,"✓ OK","⚠ High"),0)</f>
        <v>✓ OK</v>
      </c>
    </row>
    <row r="37" ht="15" customHeight="1">
      <c r="B37" s="480" t="s">
        <v>2746</v>
      </c>
      <c r="C37" s="481"/>
      <c r="D37" s="481"/>
      <c r="E37" s="481"/>
      <c r="F37" s="481"/>
    </row>
    <row r="38" ht="12.75" customHeight="1">
      <c r="B38" s="556" t="s">
        <v>381</v>
      </c>
      <c r="C38" s="556" t="s">
        <v>2747</v>
      </c>
      <c r="D38" s="556" t="s">
        <v>2748</v>
      </c>
      <c r="E38" s="556" t="s">
        <v>2749</v>
      </c>
    </row>
    <row r="39" ht="15.75" customHeight="1">
      <c r="B39" s="184" t="s">
        <v>2750</v>
      </c>
      <c r="C39" s="185">
        <f t="shared" si="6" ref="C39:C41">C20-D20</f>
        <v>-573552.576</v>
      </c>
      <c r="D39" s="378">
        <f t="shared" si="7" ref="D39:D41">F20/D20</f>
        <v>-0.107277044696264</v>
      </c>
      <c r="E39" s="184" t="s">
        <v>2751</v>
      </c>
    </row>
    <row r="40" ht="15.75" customHeight="1">
      <c r="B40" s="184" t="s">
        <v>2752</v>
      </c>
      <c r="C40" s="185">
        <f t="shared" si="6"/>
        <v>72850</v>
      </c>
      <c r="D40" s="378">
        <f t="shared" si="7"/>
        <v>0.024390243902439</v>
      </c>
      <c r="E40" s="184" t="s">
        <v>2753</v>
      </c>
    </row>
    <row r="41" ht="15.75" customHeight="1">
      <c r="B41" s="184" t="s">
        <v>2754</v>
      </c>
      <c r="C41" s="185">
        <f t="shared" si="6"/>
        <v>-646402.576</v>
      </c>
      <c r="D41" s="378">
        <f t="shared" si="7"/>
        <v>-0.273944507377218</v>
      </c>
      <c r="E41" s="184" t="s">
        <v>2755</v>
      </c>
    </row>
    <row r="42" ht="15.75" customHeight="1">
      <c r="B42" s="184" t="s">
        <v>2756</v>
      </c>
      <c r="C42" s="185">
        <f>C25-D25</f>
        <v>-745602.576</v>
      </c>
      <c r="D42" s="378">
        <f>F25/D25</f>
        <v>-1.12763119792422</v>
      </c>
      <c r="E42" s="184" t="s">
        <v>2757</v>
      </c>
    </row>
    <row r="44" ht="15" customHeight="1">
      <c r="B44" s="609" t="s">
        <v>2758</v>
      </c>
      <c r="C44" s="610"/>
      <c r="D44" s="610"/>
      <c r="E44" s="610"/>
      <c r="F44" s="610"/>
    </row>
    <row r="45" ht="12.75" customHeight="1">
      <c r="B45" s="564" t="s">
        <v>381</v>
      </c>
      <c r="C45" s="564" t="s">
        <v>2747</v>
      </c>
      <c r="D45" s="564" t="s">
        <v>2748</v>
      </c>
      <c r="E45" s="564" t="s">
        <v>2749</v>
      </c>
    </row>
    <row r="46" ht="15.75" customHeight="1">
      <c r="B46" s="184" t="s">
        <v>2750</v>
      </c>
      <c r="C46" s="185">
        <f t="shared" si="8" ref="C46:C48">E20-D20</f>
        <v>273116.448</v>
      </c>
      <c r="D46" s="378">
        <f t="shared" si="9" ref="D46:D48">G20/D20</f>
        <v>0.0510835913312693</v>
      </c>
      <c r="E46" s="184" t="s">
        <v>2759</v>
      </c>
    </row>
    <row r="47" ht="15.75" customHeight="1">
      <c r="B47" s="184" t="s">
        <v>2752</v>
      </c>
      <c r="C47" s="185">
        <f t="shared" si="8"/>
        <v>-29140</v>
      </c>
      <c r="D47" s="378">
        <f t="shared" si="9"/>
        <v>-0.00975609756097561</v>
      </c>
      <c r="E47" s="184" t="s">
        <v>2760</v>
      </c>
    </row>
    <row r="48" ht="15.75" customHeight="1">
      <c r="B48" s="184" t="s">
        <v>2754</v>
      </c>
      <c r="C48" s="185">
        <f t="shared" si="8"/>
        <v>302256.448</v>
      </c>
      <c r="D48" s="378">
        <f t="shared" si="9"/>
        <v>0.128095859798906</v>
      </c>
      <c r="E48" s="184" t="s">
        <v>2761</v>
      </c>
    </row>
    <row r="49" ht="15.75" customHeight="1">
      <c r="B49" s="184" t="s">
        <v>2756</v>
      </c>
      <c r="C49" s="185">
        <f>E25-D25</f>
        <v>351856.448</v>
      </c>
      <c r="D49" s="378">
        <f>G25/D25</f>
        <v>0.532139132464049</v>
      </c>
      <c r="E49" s="184" t="s">
        <v>2762</v>
      </c>
    </row>
    <row r="52" ht="15" customHeight="1">
      <c r="B52" s="492" t="s">
        <v>2763</v>
      </c>
      <c r="C52" s="158"/>
      <c r="D52" s="158"/>
      <c r="E52" s="158"/>
      <c r="F52" s="158"/>
      <c r="G52" s="158"/>
      <c r="H52" s="158"/>
    </row>
    <row r="54" ht="13.5" customHeight="1">
      <c r="B54" s="608" t="s">
        <v>2764</v>
      </c>
      <c r="C54" s="611"/>
      <c r="E54" s="533" t="s">
        <v>2765</v>
      </c>
      <c r="F54" s="534"/>
      <c r="G54" s="534"/>
      <c r="H54" s="534"/>
    </row>
    <row r="55" ht="15.75" customHeight="1">
      <c r="B55" s="184" t="s">
        <v>2695</v>
      </c>
      <c r="C55" s="199" t="s">
        <v>2766</v>
      </c>
      <c r="E55" s="184" t="s">
        <v>2767</v>
      </c>
    </row>
    <row r="56" ht="15.75" customHeight="1">
      <c r="B56" s="184" t="s">
        <v>2699</v>
      </c>
      <c r="C56" s="200" t="s">
        <v>2768</v>
      </c>
      <c r="E56" s="184" t="s">
        <v>2769</v>
      </c>
    </row>
    <row r="57" ht="15.75" customHeight="1">
      <c r="B57" s="184" t="s">
        <v>2703</v>
      </c>
      <c r="C57" s="200" t="s">
        <v>2770</v>
      </c>
      <c r="E57" s="184" t="s">
        <v>2771</v>
      </c>
    </row>
    <row r="58" ht="15.75" customHeight="1">
      <c r="E58" s="184" t="s">
        <v>2772</v>
      </c>
    </row>
    <row r="60" ht="13.5" customHeight="1">
      <c r="B60" s="590" t="s">
        <v>2773</v>
      </c>
      <c r="C60" s="591"/>
      <c r="D60" s="591"/>
      <c r="E60" s="591"/>
      <c r="F60" s="591"/>
    </row>
    <row r="61" ht="12.75" customHeight="1">
      <c r="B61" s="516" t="s">
        <v>2774</v>
      </c>
      <c r="C61" s="516" t="s">
        <v>2775</v>
      </c>
    </row>
    <row r="62" ht="15.75" customHeight="1">
      <c r="B62" s="184" t="s">
        <v>2776</v>
      </c>
      <c r="C62" s="184" t="s">
        <v>2777</v>
      </c>
    </row>
    <row r="63" ht="15.75" customHeight="1">
      <c r="B63" s="184" t="s">
        <v>2778</v>
      </c>
      <c r="C63" s="184" t="s">
        <v>2779</v>
      </c>
    </row>
    <row r="64" ht="15.75" customHeight="1">
      <c r="B64" s="184" t="s">
        <v>2780</v>
      </c>
      <c r="C64" s="184" t="s">
        <v>2781</v>
      </c>
    </row>
    <row r="66" ht="15" customHeight="1">
      <c r="B66" s="609" t="s">
        <v>2782</v>
      </c>
      <c r="C66" s="612" t="s">
        <v>2783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CA6B5E2-0E38-D8D6-4D6C-8DCFBCE09898}" mc:Ignorable="x14ac xr xr2 xr3">
  <dimension ref="A1:GR50000"/>
  <sheetViews>
    <sheetView topLeftCell="A1" workbookViewId="0">
      <selection activeCell="A1" sqref="A1"/>
    </sheetView>
  </sheetViews>
  <sheetFormatPr defaultRowHeight="15" defaultColWidth="7.75390625" customHeight="1"/>
  <cols>
    <col min="1" max="1" width="0.625" customWidth="1"/>
    <col min="2" max="2" width="16.25390625" customWidth="1"/>
    <col min="3" max="14" width="8.125" customWidth="1"/>
    <col min="15" max="15" width="9.375" customWidth="1"/>
  </cols>
  <sheetData>
    <row r="2" ht="21" customHeight="1">
      <c r="B2" s="472" t="s">
        <v>2784</v>
      </c>
    </row>
    <row r="3" ht="13.5" customHeight="1">
      <c r="B3" s="473" t="s">
        <v>2785</v>
      </c>
    </row>
    <row r="5" ht="15" customHeight="1">
      <c r="B5" s="609" t="s">
        <v>2786</v>
      </c>
      <c r="C5" s="610"/>
      <c r="D5" s="610"/>
      <c r="E5" s="610"/>
      <c r="F5" s="610"/>
      <c r="G5" s="610"/>
      <c r="H5" s="610"/>
      <c r="I5" s="610"/>
      <c r="J5" s="610"/>
      <c r="K5" s="610"/>
      <c r="L5" s="610"/>
      <c r="M5" s="610"/>
      <c r="N5" s="610"/>
      <c r="O5" s="610"/>
    </row>
    <row r="6" ht="12.75" customHeight="1">
      <c r="B6" s="613" t="s">
        <v>2787</v>
      </c>
      <c r="C6" s="613" t="s">
        <v>2788</v>
      </c>
      <c r="D6" s="613" t="s">
        <v>2789</v>
      </c>
      <c r="E6" s="613" t="s">
        <v>2790</v>
      </c>
      <c r="F6" s="613" t="s">
        <v>2791</v>
      </c>
      <c r="G6" s="613" t="s">
        <v>2792</v>
      </c>
      <c r="H6" s="613" t="s">
        <v>2793</v>
      </c>
      <c r="I6" s="613" t="s">
        <v>2794</v>
      </c>
      <c r="J6" s="613" t="s">
        <v>2795</v>
      </c>
      <c r="K6" s="613" t="s">
        <v>2796</v>
      </c>
      <c r="L6" s="613" t="s">
        <v>2797</v>
      </c>
      <c r="M6" s="613" t="s">
        <v>2798</v>
      </c>
      <c r="N6" s="613" t="s">
        <v>339</v>
      </c>
      <c r="O6" s="613" t="s">
        <v>2799</v>
      </c>
    </row>
    <row r="7" ht="16.5" customHeight="1">
      <c r="B7" s="513" t="s">
        <v>85</v>
      </c>
      <c r="C7" s="389">
        <v>458000</v>
      </c>
      <c r="D7" s="389">
        <v>462000</v>
      </c>
      <c r="E7" s="389">
        <v>468000</v>
      </c>
      <c r="F7" s="389">
        <v>472000</v>
      </c>
      <c r="G7" s="389">
        <v>475000</v>
      </c>
      <c r="H7" s="389">
        <v>478000</v>
      </c>
      <c r="I7" s="389">
        <v>480000</v>
      </c>
      <c r="J7" s="389">
        <v>482000</v>
      </c>
      <c r="K7" s="389">
        <v>485000</v>
      </c>
      <c r="L7" s="389">
        <v>488000</v>
      </c>
      <c r="M7" s="389">
        <v>490000</v>
      </c>
      <c r="N7" s="389">
        <v>471200</v>
      </c>
      <c r="O7" s="389">
        <f t="shared" si="0" ref="O7:O56">SUM(C7:N7)</f>
        <v>5709200</v>
      </c>
    </row>
    <row r="8" ht="16.5" customHeight="1">
      <c r="B8" s="614" t="s">
        <v>379</v>
      </c>
      <c r="C8" s="389">
        <v>455000</v>
      </c>
      <c r="D8" s="389">
        <v>458000</v>
      </c>
      <c r="E8" s="389">
        <v>462000</v>
      </c>
      <c r="F8" s="389">
        <v>465000</v>
      </c>
      <c r="G8" s="389">
        <v>468000</v>
      </c>
      <c r="H8" s="389">
        <v>472000</v>
      </c>
      <c r="I8" s="389">
        <v>475000</v>
      </c>
      <c r="J8" s="389">
        <v>478000</v>
      </c>
      <c r="K8" s="389">
        <v>480000</v>
      </c>
      <c r="L8" s="389">
        <v>482000</v>
      </c>
      <c r="M8" s="389">
        <v>485000</v>
      </c>
      <c r="N8" s="389">
        <v>470000</v>
      </c>
      <c r="O8" s="389">
        <f t="shared" si="0"/>
        <v>5650000</v>
      </c>
    </row>
    <row r="9" ht="16.5" customHeight="1">
      <c r="B9" s="512" t="s">
        <v>2800</v>
      </c>
      <c r="C9" s="389">
        <v>456000</v>
      </c>
      <c r="D9" s="389">
        <v>460000</v>
      </c>
      <c r="E9" s="389">
        <v>465000</v>
      </c>
      <c r="F9" s="389">
        <v>470000</v>
      </c>
      <c r="G9" s="389">
        <v>473000</v>
      </c>
      <c r="H9" s="389">
        <v>476000</v>
      </c>
      <c r="I9" s="389">
        <v>479000</v>
      </c>
      <c r="J9" s="389">
        <v>481000</v>
      </c>
      <c r="K9" s="389">
        <v>484000</v>
      </c>
      <c r="L9" s="389">
        <v>487000</v>
      </c>
      <c r="M9" s="389">
        <v>489000</v>
      </c>
      <c r="N9" s="389">
        <v>471000</v>
      </c>
      <c r="O9" s="389">
        <f t="shared" si="0"/>
        <v>5691000</v>
      </c>
    </row>
    <row r="10" ht="16.5" customHeight="1">
      <c r="B10" s="184" t="s">
        <v>2801</v>
      </c>
      <c r="C10" s="378">
        <f t="shared" si="1" ref="C10:O26">_xlfn.IFERROR((C7-C8)/C8,0)</f>
        <v>0.00659340659340659</v>
      </c>
      <c r="D10" s="378">
        <f t="shared" si="1"/>
        <v>0.00873362445414847</v>
      </c>
      <c r="E10" s="378">
        <f t="shared" si="1"/>
        <v>0.012987012987013</v>
      </c>
      <c r="F10" s="378">
        <f t="shared" si="1"/>
        <v>0.0150537634408602</v>
      </c>
      <c r="G10" s="378">
        <f t="shared" si="1"/>
        <v>0.014957264957265</v>
      </c>
      <c r="H10" s="378">
        <f t="shared" si="1"/>
        <v>0.0127118644067797</v>
      </c>
      <c r="I10" s="378">
        <f t="shared" si="1"/>
        <v>0.0105263157894737</v>
      </c>
      <c r="J10" s="378">
        <f t="shared" si="1"/>
        <v>0.00836820083682008</v>
      </c>
      <c r="K10" s="378">
        <f t="shared" si="1"/>
        <v>0.0104166666666667</v>
      </c>
      <c r="L10" s="378">
        <f t="shared" si="1"/>
        <v>0.012448132780083</v>
      </c>
      <c r="M10" s="378">
        <f t="shared" si="1"/>
        <v>0.0103092783505155</v>
      </c>
      <c r="N10" s="378">
        <f t="shared" si="1"/>
        <v>0.0025531914893617</v>
      </c>
      <c r="O10" s="378">
        <f t="shared" si="1"/>
        <v>0.0104778761061947</v>
      </c>
    </row>
    <row r="13" ht="15" customHeight="1">
      <c r="B13" s="480" t="s">
        <v>2802</v>
      </c>
      <c r="C13" s="481"/>
      <c r="D13" s="481"/>
      <c r="E13" s="481"/>
      <c r="F13" s="481"/>
      <c r="G13" s="481"/>
      <c r="H13" s="481"/>
      <c r="I13" s="481"/>
      <c r="J13" s="481"/>
      <c r="K13" s="481"/>
      <c r="L13" s="481"/>
      <c r="M13" s="481"/>
      <c r="N13" s="481"/>
      <c r="O13" s="481"/>
    </row>
    <row r="14" ht="12.75" customHeight="1">
      <c r="B14" s="557" t="s">
        <v>2787</v>
      </c>
      <c r="C14" s="557" t="s">
        <v>2788</v>
      </c>
      <c r="D14" s="557" t="s">
        <v>2789</v>
      </c>
      <c r="E14" s="557" t="s">
        <v>2790</v>
      </c>
      <c r="F14" s="557" t="s">
        <v>2791</v>
      </c>
      <c r="G14" s="557" t="s">
        <v>2792</v>
      </c>
      <c r="H14" s="557" t="s">
        <v>2793</v>
      </c>
      <c r="I14" s="557" t="s">
        <v>2794</v>
      </c>
      <c r="J14" s="557" t="s">
        <v>2795</v>
      </c>
      <c r="K14" s="557" t="s">
        <v>2796</v>
      </c>
      <c r="L14" s="557" t="s">
        <v>2797</v>
      </c>
      <c r="M14" s="557" t="s">
        <v>2798</v>
      </c>
      <c r="N14" s="557" t="s">
        <v>339</v>
      </c>
      <c r="O14" s="557" t="s">
        <v>2799</v>
      </c>
    </row>
    <row r="15" ht="16.5" customHeight="1">
      <c r="B15" s="513" t="s">
        <v>85</v>
      </c>
      <c r="C15" s="389">
        <v>235000</v>
      </c>
      <c r="D15" s="389">
        <v>238000</v>
      </c>
      <c r="E15" s="389">
        <v>242000</v>
      </c>
      <c r="F15" s="389">
        <v>240000</v>
      </c>
      <c r="G15" s="389">
        <v>245000</v>
      </c>
      <c r="H15" s="389">
        <v>248000</v>
      </c>
      <c r="I15" s="389">
        <v>252000</v>
      </c>
      <c r="J15" s="389">
        <v>250000</v>
      </c>
      <c r="K15" s="389">
        <v>248000</v>
      </c>
      <c r="L15" s="389">
        <v>245000</v>
      </c>
      <c r="M15" s="389">
        <v>242000</v>
      </c>
      <c r="N15" s="389">
        <v>238300</v>
      </c>
      <c r="O15" s="389">
        <f t="shared" si="0"/>
        <v>2923300</v>
      </c>
    </row>
    <row r="16" ht="16.5" customHeight="1">
      <c r="B16" s="614" t="s">
        <v>379</v>
      </c>
      <c r="C16" s="389">
        <v>240000</v>
      </c>
      <c r="D16" s="389">
        <v>242000</v>
      </c>
      <c r="E16" s="389">
        <v>245000</v>
      </c>
      <c r="F16" s="389">
        <v>248000</v>
      </c>
      <c r="G16" s="389">
        <v>250000</v>
      </c>
      <c r="H16" s="389">
        <v>252000</v>
      </c>
      <c r="I16" s="389">
        <v>255000</v>
      </c>
      <c r="J16" s="389">
        <v>258000</v>
      </c>
      <c r="K16" s="389">
        <v>260000</v>
      </c>
      <c r="L16" s="389">
        <v>262000</v>
      </c>
      <c r="M16" s="389">
        <v>265000</v>
      </c>
      <c r="N16" s="389">
        <v>248000</v>
      </c>
      <c r="O16" s="389">
        <f t="shared" si="0"/>
        <v>3025000</v>
      </c>
    </row>
    <row r="17" ht="16.5" customHeight="1">
      <c r="B17" s="512" t="s">
        <v>2800</v>
      </c>
      <c r="C17" s="389">
        <v>238000</v>
      </c>
      <c r="D17" s="389">
        <v>240000</v>
      </c>
      <c r="E17" s="389">
        <v>243000</v>
      </c>
      <c r="F17" s="389">
        <v>245000</v>
      </c>
      <c r="G17" s="389">
        <v>248000</v>
      </c>
      <c r="H17" s="389">
        <v>250000</v>
      </c>
      <c r="I17" s="389">
        <v>253000</v>
      </c>
      <c r="J17" s="389">
        <v>255000</v>
      </c>
      <c r="K17" s="389">
        <v>257000</v>
      </c>
      <c r="L17" s="389">
        <v>259000</v>
      </c>
      <c r="M17" s="389">
        <v>261000</v>
      </c>
      <c r="N17" s="389">
        <v>245000</v>
      </c>
      <c r="O17" s="389">
        <f t="shared" si="0"/>
        <v>2994000</v>
      </c>
    </row>
    <row r="18" ht="16.5" customHeight="1">
      <c r="B18" s="184" t="s">
        <v>2801</v>
      </c>
      <c r="C18" s="378">
        <f t="shared" si="1"/>
        <v>-0.0208333333333333</v>
      </c>
      <c r="D18" s="378">
        <f t="shared" si="1"/>
        <v>-0.0165289256198347</v>
      </c>
      <c r="E18" s="378">
        <f t="shared" si="1"/>
        <v>-0.0122448979591837</v>
      </c>
      <c r="F18" s="378">
        <f t="shared" si="1"/>
        <v>-0.032258064516129</v>
      </c>
      <c r="G18" s="378">
        <f t="shared" si="1"/>
        <v>-0.02</v>
      </c>
      <c r="H18" s="378">
        <f t="shared" si="1"/>
        <v>-0.0158730158730159</v>
      </c>
      <c r="I18" s="378">
        <f t="shared" si="1"/>
        <v>-0.0117647058823529</v>
      </c>
      <c r="J18" s="378">
        <f t="shared" si="1"/>
        <v>-0.0310077519379845</v>
      </c>
      <c r="K18" s="378">
        <f t="shared" si="1"/>
        <v>-0.0461538461538462</v>
      </c>
      <c r="L18" s="378">
        <f t="shared" si="1"/>
        <v>-0.0648854961832061</v>
      </c>
      <c r="M18" s="378">
        <f t="shared" si="1"/>
        <v>-0.0867924528301887</v>
      </c>
      <c r="N18" s="378">
        <f t="shared" si="1"/>
        <v>-0.0391129032258065</v>
      </c>
      <c r="O18" s="378">
        <f t="shared" si="1"/>
        <v>-0.0336198347107438</v>
      </c>
    </row>
    <row r="21" ht="15" customHeight="1">
      <c r="B21" s="492" t="s">
        <v>2803</v>
      </c>
      <c r="C21" s="158"/>
      <c r="D21" s="158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</row>
    <row r="22" ht="12.75" customHeight="1">
      <c r="B22" s="544" t="s">
        <v>2787</v>
      </c>
      <c r="C22" s="544" t="s">
        <v>2788</v>
      </c>
      <c r="D22" s="544" t="s">
        <v>2789</v>
      </c>
      <c r="E22" s="544" t="s">
        <v>2790</v>
      </c>
      <c r="F22" s="544" t="s">
        <v>2791</v>
      </c>
      <c r="G22" s="544" t="s">
        <v>2792</v>
      </c>
      <c r="H22" s="544" t="s">
        <v>2793</v>
      </c>
      <c r="I22" s="544" t="s">
        <v>2794</v>
      </c>
      <c r="J22" s="544" t="s">
        <v>2795</v>
      </c>
      <c r="K22" s="544" t="s">
        <v>2796</v>
      </c>
      <c r="L22" s="544" t="s">
        <v>2797</v>
      </c>
      <c r="M22" s="544" t="s">
        <v>2798</v>
      </c>
      <c r="N22" s="544" t="s">
        <v>339</v>
      </c>
      <c r="O22" s="544" t="s">
        <v>2799</v>
      </c>
    </row>
    <row r="23" ht="12.75" customHeight="1">
      <c r="B23" s="518" t="s">
        <v>2804</v>
      </c>
      <c r="C23" s="615">
        <f t="shared" si="2" ref="C23:N25">C7-C15</f>
        <v>223000</v>
      </c>
      <c r="D23" s="615">
        <f t="shared" si="2"/>
        <v>224000</v>
      </c>
      <c r="E23" s="615">
        <f t="shared" si="2"/>
        <v>226000</v>
      </c>
      <c r="F23" s="615">
        <f t="shared" si="2"/>
        <v>232000</v>
      </c>
      <c r="G23" s="615">
        <f t="shared" si="2"/>
        <v>230000</v>
      </c>
      <c r="H23" s="615">
        <f t="shared" si="2"/>
        <v>230000</v>
      </c>
      <c r="I23" s="615">
        <f t="shared" si="2"/>
        <v>228000</v>
      </c>
      <c r="J23" s="615">
        <f t="shared" si="2"/>
        <v>232000</v>
      </c>
      <c r="K23" s="615">
        <f t="shared" si="2"/>
        <v>237000</v>
      </c>
      <c r="L23" s="615">
        <f t="shared" si="2"/>
        <v>243000</v>
      </c>
      <c r="M23" s="615">
        <f t="shared" si="2"/>
        <v>248000</v>
      </c>
      <c r="N23" s="615">
        <f t="shared" si="2"/>
        <v>232900</v>
      </c>
      <c r="O23" s="615">
        <f t="shared" si="0"/>
        <v>2785900</v>
      </c>
    </row>
    <row r="24" ht="16.5" customHeight="1">
      <c r="B24" s="184" t="s">
        <v>2805</v>
      </c>
      <c r="C24" s="389">
        <f t="shared" si="2"/>
        <v>215000</v>
      </c>
      <c r="D24" s="389">
        <f t="shared" si="2"/>
        <v>216000</v>
      </c>
      <c r="E24" s="389">
        <f t="shared" si="2"/>
        <v>217000</v>
      </c>
      <c r="F24" s="389">
        <f t="shared" si="2"/>
        <v>217000</v>
      </c>
      <c r="G24" s="389">
        <f t="shared" si="2"/>
        <v>218000</v>
      </c>
      <c r="H24" s="389">
        <f t="shared" si="2"/>
        <v>220000</v>
      </c>
      <c r="I24" s="389">
        <f t="shared" si="2"/>
        <v>220000</v>
      </c>
      <c r="J24" s="389">
        <f t="shared" si="2"/>
        <v>220000</v>
      </c>
      <c r="K24" s="389">
        <f t="shared" si="2"/>
        <v>220000</v>
      </c>
      <c r="L24" s="389">
        <f t="shared" si="2"/>
        <v>220000</v>
      </c>
      <c r="M24" s="389">
        <f t="shared" si="2"/>
        <v>220000</v>
      </c>
      <c r="N24" s="389">
        <f t="shared" si="2"/>
        <v>222000</v>
      </c>
      <c r="O24" s="389">
        <f t="shared" si="0"/>
        <v>2625000</v>
      </c>
    </row>
    <row r="25" ht="16.5" customHeight="1">
      <c r="B25" s="184" t="s">
        <v>2806</v>
      </c>
      <c r="C25" s="389">
        <f t="shared" si="2"/>
        <v>218000</v>
      </c>
      <c r="D25" s="389">
        <f t="shared" si="2"/>
        <v>220000</v>
      </c>
      <c r="E25" s="389">
        <f t="shared" si="2"/>
        <v>222000</v>
      </c>
      <c r="F25" s="389">
        <f t="shared" si="2"/>
        <v>225000</v>
      </c>
      <c r="G25" s="389">
        <f t="shared" si="2"/>
        <v>225000</v>
      </c>
      <c r="H25" s="389">
        <f t="shared" si="2"/>
        <v>226000</v>
      </c>
      <c r="I25" s="389">
        <f t="shared" si="2"/>
        <v>226000</v>
      </c>
      <c r="J25" s="389">
        <f t="shared" si="2"/>
        <v>226000</v>
      </c>
      <c r="K25" s="389">
        <f t="shared" si="2"/>
        <v>227000</v>
      </c>
      <c r="L25" s="389">
        <f t="shared" si="2"/>
        <v>228000</v>
      </c>
      <c r="M25" s="389">
        <f t="shared" si="2"/>
        <v>228000</v>
      </c>
      <c r="N25" s="389">
        <f t="shared" si="2"/>
        <v>226000</v>
      </c>
      <c r="O25" s="389">
        <f t="shared" si="0"/>
        <v>2697000</v>
      </c>
    </row>
    <row r="26" ht="16.5" customHeight="1">
      <c r="B26" s="184" t="s">
        <v>2801</v>
      </c>
      <c r="C26" s="378">
        <f t="shared" si="1"/>
        <v>0.0372093023255814</v>
      </c>
      <c r="D26" s="378">
        <f t="shared" si="1"/>
        <v>0.037037037037037</v>
      </c>
      <c r="E26" s="378">
        <f t="shared" si="1"/>
        <v>0.0414746543778802</v>
      </c>
      <c r="F26" s="378">
        <f t="shared" si="1"/>
        <v>0.0691244239631336</v>
      </c>
      <c r="G26" s="378">
        <f t="shared" si="1"/>
        <v>0.055045871559633</v>
      </c>
      <c r="H26" s="378">
        <f t="shared" si="1"/>
        <v>0.0454545454545455</v>
      </c>
      <c r="I26" s="378">
        <f t="shared" si="1"/>
        <v>0.0363636363636364</v>
      </c>
      <c r="J26" s="378">
        <f t="shared" si="1"/>
        <v>0.0545454545454545</v>
      </c>
      <c r="K26" s="378">
        <f t="shared" si="1"/>
        <v>0.0772727272727273</v>
      </c>
      <c r="L26" s="378">
        <f t="shared" si="1"/>
        <v>0.104545454545455</v>
      </c>
      <c r="M26" s="378">
        <f t="shared" si="1"/>
        <v>0.127272727272727</v>
      </c>
      <c r="N26" s="378">
        <f t="shared" si="1"/>
        <v>0.0490990990990991</v>
      </c>
      <c r="O26" s="378">
        <f t="shared" si="1"/>
        <v>0.0612952380952381</v>
      </c>
    </row>
    <row r="28" ht="18" customHeight="1">
      <c r="B28" s="616" t="s">
        <v>2807</v>
      </c>
      <c r="C28" s="617"/>
      <c r="D28" s="617"/>
      <c r="E28" s="617"/>
      <c r="F28" s="617"/>
      <c r="G28" s="617"/>
      <c r="H28" s="617"/>
      <c r="I28" s="617"/>
      <c r="J28" s="617"/>
      <c r="K28" s="617"/>
      <c r="L28" s="617"/>
      <c r="M28" s="617"/>
      <c r="N28" s="617"/>
      <c r="O28" s="617"/>
    </row>
    <row r="30" ht="15" customHeight="1">
      <c r="B30" s="618" t="s">
        <v>1622</v>
      </c>
    </row>
    <row r="31" ht="16.5" customHeight="1">
      <c r="B31" t="s">
        <v>85</v>
      </c>
      <c r="C31" s="619">
        <v>42500</v>
      </c>
      <c r="D31" s="619">
        <v>43200</v>
      </c>
      <c r="E31" s="619">
        <v>44100</v>
      </c>
      <c r="F31" s="619">
        <v>42800</v>
      </c>
      <c r="G31" s="619">
        <v>43500</v>
      </c>
      <c r="H31" s="619">
        <v>44200</v>
      </c>
      <c r="I31" s="619">
        <v>43900</v>
      </c>
      <c r="J31" s="619">
        <v>44500</v>
      </c>
      <c r="K31" s="619">
        <v>44800</v>
      </c>
      <c r="L31" s="619">
        <v>45100</v>
      </c>
      <c r="M31" s="619">
        <v>44600</v>
      </c>
      <c r="N31" s="619">
        <v>45200</v>
      </c>
      <c r="O31" s="619">
        <f t="shared" si="0"/>
        <v>528400</v>
      </c>
    </row>
    <row r="32" ht="16.5" customHeight="1">
      <c r="B32" t="s">
        <v>379</v>
      </c>
      <c r="C32" s="619">
        <v>43000</v>
      </c>
      <c r="D32" s="619">
        <v>43000</v>
      </c>
      <c r="E32" s="619">
        <v>43500</v>
      </c>
      <c r="F32" s="619">
        <v>43500</v>
      </c>
      <c r="G32" s="619">
        <v>44000</v>
      </c>
      <c r="H32" s="619">
        <v>44000</v>
      </c>
      <c r="I32" s="619">
        <v>44500</v>
      </c>
      <c r="J32" s="619">
        <v>44500</v>
      </c>
      <c r="K32" s="619">
        <v>45000</v>
      </c>
      <c r="L32" s="619">
        <v>45000</v>
      </c>
      <c r="M32" s="619">
        <v>45500</v>
      </c>
      <c r="N32" s="619">
        <v>45500</v>
      </c>
      <c r="O32" s="619">
        <f t="shared" si="0"/>
        <v>531000</v>
      </c>
    </row>
    <row r="33" ht="16.5" customHeight="1">
      <c r="B33" t="s">
        <v>83</v>
      </c>
      <c r="C33" s="619">
        <f t="shared" si="3" ref="C33:O57">C31-C32</f>
        <v>-500</v>
      </c>
      <c r="D33" s="619">
        <f t="shared" si="3"/>
        <v>200</v>
      </c>
      <c r="E33" s="619">
        <f t="shared" si="3"/>
        <v>600</v>
      </c>
      <c r="F33" s="619">
        <f t="shared" si="3"/>
        <v>-700</v>
      </c>
      <c r="G33" s="619">
        <f t="shared" si="3"/>
        <v>-500</v>
      </c>
      <c r="H33" s="619">
        <f t="shared" si="3"/>
        <v>200</v>
      </c>
      <c r="I33" s="619">
        <f t="shared" si="3"/>
        <v>-600</v>
      </c>
      <c r="J33" s="619">
        <f t="shared" si="3"/>
        <v>0</v>
      </c>
      <c r="K33" s="619">
        <f t="shared" si="3"/>
        <v>-200</v>
      </c>
      <c r="L33" s="619">
        <f t="shared" si="3"/>
        <v>100</v>
      </c>
      <c r="M33" s="619">
        <f t="shared" si="3"/>
        <v>-900</v>
      </c>
      <c r="N33" s="619">
        <f t="shared" si="3"/>
        <v>-300</v>
      </c>
      <c r="O33" s="619">
        <f t="shared" si="3"/>
        <v>-2600</v>
      </c>
    </row>
    <row r="34" ht="16.5" customHeight="1">
      <c r="B34" t="s">
        <v>84</v>
      </c>
      <c r="C34" s="378">
        <f t="shared" si="4" ref="C34:O58">_xlfn.IFERROR(C33/C32,0)</f>
        <v>-0.0116279069767442</v>
      </c>
      <c r="D34" s="378">
        <f t="shared" si="4"/>
        <v>0.00465116279069767</v>
      </c>
      <c r="E34" s="378">
        <f t="shared" si="4"/>
        <v>0.0137931034482759</v>
      </c>
      <c r="F34" s="378">
        <f t="shared" si="4"/>
        <v>-0.0160919540229885</v>
      </c>
      <c r="G34" s="378">
        <f t="shared" si="4"/>
        <v>-0.0113636363636364</v>
      </c>
      <c r="H34" s="378">
        <f t="shared" si="4"/>
        <v>0.00454545454545455</v>
      </c>
      <c r="I34" s="378">
        <f t="shared" si="4"/>
        <v>-0.0134831460674157</v>
      </c>
      <c r="J34" s="378">
        <f t="shared" si="4"/>
        <v>0</v>
      </c>
      <c r="K34" s="378">
        <f t="shared" si="4"/>
        <v>-0.00444444444444444</v>
      </c>
      <c r="L34" s="378">
        <f t="shared" si="4"/>
        <v>0.00222222222222222</v>
      </c>
      <c r="M34" s="378">
        <f t="shared" si="4"/>
        <v>-0.0197802197802198</v>
      </c>
      <c r="N34" s="378">
        <f t="shared" si="4"/>
        <v>-0.00659340659340659</v>
      </c>
      <c r="O34" s="378">
        <f t="shared" si="4"/>
        <v>-0.00489642184557439</v>
      </c>
    </row>
    <row r="36" ht="15" customHeight="1">
      <c r="B36" s="618" t="s">
        <v>1654</v>
      </c>
    </row>
    <row r="37" ht="16.5" customHeight="1">
      <c r="B37" t="s">
        <v>85</v>
      </c>
      <c r="C37" s="619">
        <v>18500</v>
      </c>
      <c r="D37" s="619">
        <v>22300</v>
      </c>
      <c r="E37" s="619">
        <v>19800</v>
      </c>
      <c r="F37" s="619">
        <v>31200</v>
      </c>
      <c r="G37" s="619">
        <v>20100</v>
      </c>
      <c r="H37" s="619">
        <v>19500</v>
      </c>
      <c r="I37" s="619">
        <v>21800</v>
      </c>
      <c r="J37" s="619">
        <v>24600</v>
      </c>
      <c r="K37" s="619">
        <v>19200</v>
      </c>
      <c r="L37" s="619">
        <v>20800</v>
      </c>
      <c r="M37" s="619">
        <v>21500</v>
      </c>
      <c r="N37" s="619">
        <v>19900</v>
      </c>
      <c r="O37" s="619">
        <f t="shared" si="0"/>
        <v>259200</v>
      </c>
    </row>
    <row r="38" ht="16.5" customHeight="1">
      <c r="B38" t="s">
        <v>379</v>
      </c>
      <c r="C38" s="619">
        <v>20000</v>
      </c>
      <c r="D38" s="619">
        <v>20000</v>
      </c>
      <c r="E38" s="619">
        <v>20000</v>
      </c>
      <c r="F38" s="619">
        <v>20000</v>
      </c>
      <c r="G38" s="619">
        <v>20000</v>
      </c>
      <c r="H38" s="619">
        <v>20000</v>
      </c>
      <c r="I38" s="619">
        <v>20000</v>
      </c>
      <c r="J38" s="619">
        <v>20000</v>
      </c>
      <c r="K38" s="619">
        <v>20000</v>
      </c>
      <c r="L38" s="619">
        <v>20000</v>
      </c>
      <c r="M38" s="619">
        <v>20000</v>
      </c>
      <c r="N38" s="619">
        <v>20000</v>
      </c>
      <c r="O38" s="619">
        <f t="shared" si="0"/>
        <v>240000</v>
      </c>
    </row>
    <row r="39" ht="16.5" customHeight="1">
      <c r="B39" t="s">
        <v>83</v>
      </c>
      <c r="C39" s="619">
        <f t="shared" si="3"/>
        <v>-1500</v>
      </c>
      <c r="D39" s="619">
        <f t="shared" si="3"/>
        <v>2300</v>
      </c>
      <c r="E39" s="619">
        <f t="shared" si="3"/>
        <v>-200</v>
      </c>
      <c r="F39" s="619">
        <f t="shared" si="3"/>
        <v>11200</v>
      </c>
      <c r="G39" s="619">
        <f t="shared" si="3"/>
        <v>100</v>
      </c>
      <c r="H39" s="619">
        <f t="shared" si="3"/>
        <v>-500</v>
      </c>
      <c r="I39" s="619">
        <f t="shared" si="3"/>
        <v>1800</v>
      </c>
      <c r="J39" s="619">
        <f t="shared" si="3"/>
        <v>4600</v>
      </c>
      <c r="K39" s="619">
        <f t="shared" si="3"/>
        <v>-800</v>
      </c>
      <c r="L39" s="619">
        <f t="shared" si="3"/>
        <v>800</v>
      </c>
      <c r="M39" s="619">
        <f t="shared" si="3"/>
        <v>1500</v>
      </c>
      <c r="N39" s="619">
        <f t="shared" si="3"/>
        <v>-100</v>
      </c>
      <c r="O39" s="619">
        <f t="shared" si="3"/>
        <v>19200</v>
      </c>
    </row>
    <row r="40" ht="16.5" customHeight="1">
      <c r="B40" t="s">
        <v>84</v>
      </c>
      <c r="C40" s="378">
        <f t="shared" si="5" ref="C40:O52">C39/C38</f>
        <v>-0.075</v>
      </c>
      <c r="D40" s="378">
        <f t="shared" si="5"/>
        <v>0.115</v>
      </c>
      <c r="E40" s="378">
        <f t="shared" si="5"/>
        <v>-0.01</v>
      </c>
      <c r="F40" s="378">
        <f t="shared" si="5"/>
        <v>0.56</v>
      </c>
      <c r="G40" s="378">
        <f t="shared" si="5"/>
        <v>0.005</v>
      </c>
      <c r="H40" s="378">
        <f t="shared" si="5"/>
        <v>-0.025</v>
      </c>
      <c r="I40" s="378">
        <f t="shared" si="5"/>
        <v>0.09</v>
      </c>
      <c r="J40" s="378">
        <f t="shared" si="5"/>
        <v>0.23</v>
      </c>
      <c r="K40" s="378">
        <f t="shared" si="5"/>
        <v>-0.04</v>
      </c>
      <c r="L40" s="378">
        <f t="shared" si="5"/>
        <v>0.04</v>
      </c>
      <c r="M40" s="378">
        <f t="shared" si="5"/>
        <v>0.075</v>
      </c>
      <c r="N40" s="378">
        <f t="shared" si="5"/>
        <v>-0.005</v>
      </c>
      <c r="O40" s="378">
        <f t="shared" si="5"/>
        <v>0.08</v>
      </c>
    </row>
    <row r="42" ht="15" customHeight="1">
      <c r="B42" s="618" t="s">
        <v>1624</v>
      </c>
    </row>
    <row r="43" ht="16.5" customHeight="1">
      <c r="B43" t="s">
        <v>85</v>
      </c>
      <c r="C43" s="619">
        <v>28900</v>
      </c>
      <c r="D43" s="619">
        <v>26200</v>
      </c>
      <c r="E43" s="619">
        <v>24500</v>
      </c>
      <c r="F43" s="619">
        <v>22800</v>
      </c>
      <c r="G43" s="619">
        <v>23100</v>
      </c>
      <c r="H43" s="619">
        <v>25600</v>
      </c>
      <c r="I43" s="619">
        <v>29800</v>
      </c>
      <c r="J43" s="619">
        <v>31200</v>
      </c>
      <c r="K43" s="619">
        <v>28400</v>
      </c>
      <c r="L43" s="619">
        <v>25100</v>
      </c>
      <c r="M43" s="619">
        <v>24800</v>
      </c>
      <c r="N43" s="619">
        <v>27500</v>
      </c>
      <c r="O43" s="619">
        <f t="shared" si="0"/>
        <v>317900</v>
      </c>
    </row>
    <row r="44" ht="16.5" customHeight="1">
      <c r="B44" t="s">
        <v>379</v>
      </c>
      <c r="C44" s="619">
        <v>27000</v>
      </c>
      <c r="D44" s="619">
        <v>25000</v>
      </c>
      <c r="E44" s="619">
        <v>24000</v>
      </c>
      <c r="F44" s="619">
        <v>23000</v>
      </c>
      <c r="G44" s="619">
        <v>24000</v>
      </c>
      <c r="H44" s="619">
        <v>26000</v>
      </c>
      <c r="I44" s="619">
        <v>29000</v>
      </c>
      <c r="J44" s="619">
        <v>30000</v>
      </c>
      <c r="K44" s="619">
        <v>28000</v>
      </c>
      <c r="L44" s="619">
        <v>26000</v>
      </c>
      <c r="M44" s="619">
        <v>25000</v>
      </c>
      <c r="N44" s="619">
        <v>27000</v>
      </c>
      <c r="O44" s="619">
        <f t="shared" si="0"/>
        <v>314000</v>
      </c>
    </row>
    <row r="45" ht="16.5" customHeight="1">
      <c r="B45" t="s">
        <v>83</v>
      </c>
      <c r="C45" s="619">
        <f t="shared" si="3"/>
        <v>1900</v>
      </c>
      <c r="D45" s="619">
        <f t="shared" si="3"/>
        <v>1200</v>
      </c>
      <c r="E45" s="619">
        <f t="shared" si="3"/>
        <v>500</v>
      </c>
      <c r="F45" s="619">
        <f t="shared" si="3"/>
        <v>-200</v>
      </c>
      <c r="G45" s="619">
        <f t="shared" si="3"/>
        <v>-900</v>
      </c>
      <c r="H45" s="619">
        <f t="shared" si="3"/>
        <v>-400</v>
      </c>
      <c r="I45" s="619">
        <f t="shared" si="3"/>
        <v>800</v>
      </c>
      <c r="J45" s="619">
        <f t="shared" si="3"/>
        <v>1200</v>
      </c>
      <c r="K45" s="619">
        <f t="shared" si="3"/>
        <v>400</v>
      </c>
      <c r="L45" s="619">
        <f t="shared" si="3"/>
        <v>-900</v>
      </c>
      <c r="M45" s="619">
        <f t="shared" si="3"/>
        <v>-200</v>
      </c>
      <c r="N45" s="619">
        <f t="shared" si="3"/>
        <v>500</v>
      </c>
      <c r="O45" s="619">
        <f t="shared" si="3"/>
        <v>3900</v>
      </c>
    </row>
    <row r="46" ht="16.5" customHeight="1">
      <c r="B46" t="s">
        <v>84</v>
      </c>
      <c r="C46" s="378">
        <f t="shared" si="5"/>
        <v>0.0703703703703704</v>
      </c>
      <c r="D46" s="378">
        <f t="shared" si="5"/>
        <v>0.048</v>
      </c>
      <c r="E46" s="378">
        <f t="shared" si="5"/>
        <v>0.0208333333333333</v>
      </c>
      <c r="F46" s="378">
        <f t="shared" si="5"/>
        <v>-0.00869565217391304</v>
      </c>
      <c r="G46" s="378">
        <f t="shared" si="5"/>
        <v>-0.0375</v>
      </c>
      <c r="H46" s="378">
        <f t="shared" si="5"/>
        <v>-0.0153846153846154</v>
      </c>
      <c r="I46" s="378">
        <f t="shared" si="5"/>
        <v>0.0275862068965517</v>
      </c>
      <c r="J46" s="378">
        <f t="shared" si="5"/>
        <v>0.04</v>
      </c>
      <c r="K46" s="378">
        <f t="shared" si="5"/>
        <v>0.0142857142857143</v>
      </c>
      <c r="L46" s="378">
        <f t="shared" si="5"/>
        <v>-0.0346153846153846</v>
      </c>
      <c r="M46" s="378">
        <f t="shared" si="5"/>
        <v>-0.008</v>
      </c>
      <c r="N46" s="378">
        <f t="shared" si="5"/>
        <v>0.0185185185185185</v>
      </c>
      <c r="O46" s="378">
        <f t="shared" si="5"/>
        <v>0.0124203821656051</v>
      </c>
    </row>
    <row r="48" ht="15" customHeight="1">
      <c r="B48" s="618" t="s">
        <v>729</v>
      </c>
    </row>
    <row r="49" ht="16.5" customHeight="1">
      <c r="B49" t="s">
        <v>85</v>
      </c>
      <c r="C49" s="619">
        <v>12500</v>
      </c>
      <c r="D49" s="619">
        <v>14200</v>
      </c>
      <c r="E49" s="619">
        <v>11800</v>
      </c>
      <c r="F49" s="619">
        <v>13500</v>
      </c>
      <c r="G49" s="619">
        <v>12900</v>
      </c>
      <c r="H49" s="619">
        <v>11200</v>
      </c>
      <c r="I49" s="619">
        <v>10800</v>
      </c>
      <c r="J49" s="619">
        <v>13100</v>
      </c>
      <c r="K49" s="619">
        <v>14500</v>
      </c>
      <c r="L49" s="619">
        <v>12200</v>
      </c>
      <c r="M49" s="619">
        <v>11500</v>
      </c>
      <c r="N49" s="619">
        <v>13800</v>
      </c>
      <c r="O49" s="619">
        <f t="shared" si="0"/>
        <v>152000</v>
      </c>
    </row>
    <row r="50" ht="16.5" customHeight="1">
      <c r="B50" t="s">
        <v>379</v>
      </c>
      <c r="C50" s="619">
        <v>12000</v>
      </c>
      <c r="D50" s="619">
        <v>12000</v>
      </c>
      <c r="E50" s="619">
        <v>12000</v>
      </c>
      <c r="F50" s="619">
        <v>12000</v>
      </c>
      <c r="G50" s="619">
        <v>12000</v>
      </c>
      <c r="H50" s="619">
        <v>12000</v>
      </c>
      <c r="I50" s="619">
        <v>12000</v>
      </c>
      <c r="J50" s="619">
        <v>12000</v>
      </c>
      <c r="K50" s="619">
        <v>12000</v>
      </c>
      <c r="L50" s="619">
        <v>12000</v>
      </c>
      <c r="M50" s="619">
        <v>12000</v>
      </c>
      <c r="N50" s="619">
        <v>12000</v>
      </c>
      <c r="O50" s="619">
        <f>_xlfn.IFERROR(SUM(C50:N50),0)</f>
        <v>144000</v>
      </c>
    </row>
    <row r="51" ht="16.5" customHeight="1">
      <c r="B51" t="s">
        <v>83</v>
      </c>
      <c r="C51" s="619">
        <f t="shared" si="3"/>
        <v>500</v>
      </c>
      <c r="D51" s="619">
        <f t="shared" si="3"/>
        <v>2200</v>
      </c>
      <c r="E51" s="619">
        <f t="shared" si="3"/>
        <v>-200</v>
      </c>
      <c r="F51" s="619">
        <f t="shared" si="3"/>
        <v>1500</v>
      </c>
      <c r="G51" s="619">
        <f t="shared" si="3"/>
        <v>900</v>
      </c>
      <c r="H51" s="619">
        <f t="shared" si="3"/>
        <v>-800</v>
      </c>
      <c r="I51" s="619">
        <f t="shared" si="3"/>
        <v>-1200</v>
      </c>
      <c r="J51" s="619">
        <f t="shared" si="3"/>
        <v>1100</v>
      </c>
      <c r="K51" s="619">
        <f t="shared" si="3"/>
        <v>2500</v>
      </c>
      <c r="L51" s="619">
        <f t="shared" si="3"/>
        <v>200</v>
      </c>
      <c r="M51" s="619">
        <f t="shared" si="3"/>
        <v>-500</v>
      </c>
      <c r="N51" s="619">
        <f t="shared" si="3"/>
        <v>1800</v>
      </c>
      <c r="O51" s="619">
        <f t="shared" si="3"/>
        <v>8000</v>
      </c>
    </row>
    <row r="52" ht="16.5" customHeight="1">
      <c r="B52" t="s">
        <v>84</v>
      </c>
      <c r="C52" s="378">
        <f t="shared" si="5"/>
        <v>0.0416666666666667</v>
      </c>
      <c r="D52" s="378">
        <f t="shared" si="5"/>
        <v>0.183333333333333</v>
      </c>
      <c r="E52" s="378">
        <f t="shared" si="5"/>
        <v>-0.0166666666666667</v>
      </c>
      <c r="F52" s="378">
        <f t="shared" si="5"/>
        <v>0.125</v>
      </c>
      <c r="G52" s="378">
        <f t="shared" si="5"/>
        <v>0.075</v>
      </c>
      <c r="H52" s="378">
        <f t="shared" si="5"/>
        <v>-0.0666666666666667</v>
      </c>
      <c r="I52" s="378">
        <f t="shared" si="5"/>
        <v>-0.1</v>
      </c>
      <c r="J52" s="378">
        <f t="shared" si="5"/>
        <v>0.0916666666666667</v>
      </c>
      <c r="K52" s="378">
        <f t="shared" si="5"/>
        <v>0.208333333333333</v>
      </c>
      <c r="L52" s="378">
        <f t="shared" si="5"/>
        <v>0.0166666666666667</v>
      </c>
      <c r="M52" s="378">
        <f t="shared" si="5"/>
        <v>-0.0416666666666667</v>
      </c>
      <c r="N52" s="378">
        <f t="shared" si="5"/>
        <v>0.15</v>
      </c>
      <c r="O52" s="378">
        <f t="shared" si="5"/>
        <v>0.0555555555555556</v>
      </c>
    </row>
    <row r="54" ht="15" customHeight="1">
      <c r="B54" s="618" t="s">
        <v>1778</v>
      </c>
    </row>
    <row r="55" ht="16.5" customHeight="1">
      <c r="B55" t="s">
        <v>85</v>
      </c>
      <c r="C55" s="619">
        <v>8200</v>
      </c>
      <c r="D55" s="619">
        <v>8500</v>
      </c>
      <c r="E55" s="619">
        <v>8100</v>
      </c>
      <c r="F55" s="619">
        <v>8800</v>
      </c>
      <c r="G55" s="619">
        <v>8400</v>
      </c>
      <c r="H55" s="619">
        <v>8300</v>
      </c>
      <c r="I55" s="619">
        <v>8600</v>
      </c>
      <c r="J55" s="619">
        <v>8900</v>
      </c>
      <c r="K55" s="619">
        <v>8200</v>
      </c>
      <c r="L55" s="619">
        <v>8700</v>
      </c>
      <c r="M55" s="619">
        <v>8400</v>
      </c>
      <c r="N55" s="619">
        <v>8500</v>
      </c>
      <c r="O55" s="619">
        <f t="shared" si="0"/>
        <v>101600</v>
      </c>
    </row>
    <row r="56" ht="16.5" customHeight="1">
      <c r="B56" t="s">
        <v>379</v>
      </c>
      <c r="C56" s="619">
        <v>8500</v>
      </c>
      <c r="D56" s="619">
        <v>8500</v>
      </c>
      <c r="E56" s="619">
        <v>8500</v>
      </c>
      <c r="F56" s="619">
        <v>8500</v>
      </c>
      <c r="G56" s="619">
        <v>8500</v>
      </c>
      <c r="H56" s="619">
        <v>8500</v>
      </c>
      <c r="I56" s="619">
        <v>8500</v>
      </c>
      <c r="J56" s="619">
        <v>8500</v>
      </c>
      <c r="K56" s="619">
        <v>8500</v>
      </c>
      <c r="L56" s="619">
        <v>8500</v>
      </c>
      <c r="M56" s="619">
        <v>8500</v>
      </c>
      <c r="N56" s="619">
        <v>8500</v>
      </c>
      <c r="O56" s="619">
        <f t="shared" si="0"/>
        <v>102000</v>
      </c>
    </row>
    <row r="57" ht="16.5" customHeight="1">
      <c r="B57" t="s">
        <v>83</v>
      </c>
      <c r="C57" s="619">
        <f t="shared" si="3"/>
        <v>-300</v>
      </c>
      <c r="D57" s="619">
        <f t="shared" si="3"/>
        <v>0</v>
      </c>
      <c r="E57" s="619">
        <f t="shared" si="3"/>
        <v>-400</v>
      </c>
      <c r="F57" s="619">
        <f t="shared" si="3"/>
        <v>300</v>
      </c>
      <c r="G57" s="619">
        <f t="shared" si="3"/>
        <v>-100</v>
      </c>
      <c r="H57" s="619">
        <f t="shared" si="3"/>
        <v>-200</v>
      </c>
      <c r="I57" s="619">
        <f t="shared" si="3"/>
        <v>100</v>
      </c>
      <c r="J57" s="619">
        <f t="shared" si="3"/>
        <v>400</v>
      </c>
      <c r="K57" s="619">
        <f t="shared" si="3"/>
        <v>-300</v>
      </c>
      <c r="L57" s="619">
        <f t="shared" si="3"/>
        <v>200</v>
      </c>
      <c r="M57" s="619">
        <f t="shared" si="3"/>
        <v>-100</v>
      </c>
      <c r="N57" s="619">
        <f t="shared" si="3"/>
        <v>0</v>
      </c>
      <c r="O57" s="619">
        <f t="shared" si="3"/>
        <v>-400</v>
      </c>
    </row>
    <row r="58" ht="16.5" customHeight="1">
      <c r="B58" t="s">
        <v>84</v>
      </c>
      <c r="C58" s="378">
        <f t="shared" si="4"/>
        <v>-0.0352941176470588</v>
      </c>
      <c r="D58" s="378">
        <f t="shared" si="4"/>
        <v>0</v>
      </c>
      <c r="E58" s="378">
        <f t="shared" si="4"/>
        <v>-0.0470588235294118</v>
      </c>
      <c r="F58" s="378">
        <f t="shared" si="4"/>
        <v>0.0352941176470588</v>
      </c>
      <c r="G58" s="378">
        <f t="shared" si="4"/>
        <v>-0.0117647058823529</v>
      </c>
      <c r="H58" s="378">
        <f t="shared" si="4"/>
        <v>-0.0235294117647059</v>
      </c>
      <c r="I58" s="378">
        <f t="shared" si="4"/>
        <v>0.0117647058823529</v>
      </c>
      <c r="J58" s="378">
        <f t="shared" si="4"/>
        <v>0.0470588235294118</v>
      </c>
      <c r="K58" s="378">
        <f t="shared" si="4"/>
        <v>-0.0352941176470588</v>
      </c>
      <c r="L58" s="378">
        <f t="shared" si="4"/>
        <v>0.0235294117647059</v>
      </c>
      <c r="M58" s="378">
        <f t="shared" si="4"/>
        <v>-0.0117647058823529</v>
      </c>
      <c r="N58" s="378">
        <f t="shared" si="4"/>
        <v>0</v>
      </c>
      <c r="O58" s="378">
        <f t="shared" si="4"/>
        <v>-0.00392156862745098</v>
      </c>
    </row>
    <row r="61" ht="18" customHeight="1">
      <c r="B61" s="616" t="s">
        <v>2808</v>
      </c>
      <c r="C61" s="617"/>
      <c r="D61" s="617"/>
      <c r="E61" s="617"/>
      <c r="F61" s="617"/>
    </row>
    <row r="63" ht="15" customHeight="1">
      <c r="B63" s="618" t="s">
        <v>92</v>
      </c>
      <c r="C63" s="618" t="s">
        <v>1761</v>
      </c>
      <c r="D63" s="618" t="s">
        <v>2809</v>
      </c>
      <c r="E63" s="618" t="s">
        <v>2810</v>
      </c>
      <c r="F63" s="618" t="s">
        <v>2811</v>
      </c>
    </row>
    <row r="64" ht="16.5" customHeight="1">
      <c r="B64" t="s">
        <v>67</v>
      </c>
      <c r="C64" s="619" cm="1">
        <f t="array" ref="C64">O8</f>
        <v>5650000</v>
      </c>
      <c r="D64" s="619">
        <f>AVERAGE(C8:N8)</f>
        <v>470833.333333333</v>
      </c>
      <c r="E64" s="619">
        <f>MIN(C8:N8)</f>
        <v>455000</v>
      </c>
      <c r="F64" s="619">
        <f>MAX(C8:N8)</f>
        <v>485000</v>
      </c>
    </row>
    <row r="65" ht="16.5" customHeight="1">
      <c r="B65" t="s">
        <v>2635</v>
      </c>
      <c r="C65" s="619" cm="1">
        <f t="array" ref="C65">O17</f>
        <v>2994000</v>
      </c>
      <c r="D65" s="619">
        <f>AVERAGE(C17:N17)</f>
        <v>249500</v>
      </c>
      <c r="E65" s="619">
        <f>MIN(C17:N17)</f>
        <v>238000</v>
      </c>
      <c r="F65" s="619">
        <f>MAX(C17:N17)</f>
        <v>261000</v>
      </c>
    </row>
    <row r="66" ht="16.5" customHeight="1">
      <c r="B66" t="s">
        <v>153</v>
      </c>
      <c r="C66" s="619">
        <f>_xlfn.IFERROR(O25,0)</f>
        <v>2697000</v>
      </c>
      <c r="D66" s="619">
        <f>_xlfn.IFERROR(AVERAGE(C25:N25),0)</f>
        <v>224750</v>
      </c>
      <c r="E66" s="619">
        <f>_xlfn.IFERROR(MIN(C25:N25),0)</f>
        <v>218000</v>
      </c>
      <c r="F66" s="619">
        <f>_xlfn.IFERROR(MAX(C25:N25),0)</f>
        <v>228000</v>
      </c>
    </row>
    <row r="67" ht="16.5" customHeight="1">
      <c r="B67" t="s">
        <v>1622</v>
      </c>
      <c r="C67" s="619" cm="1">
        <f t="array" ref="C67">O33</f>
        <v>-2600</v>
      </c>
      <c r="D67" s="619">
        <f>AVERAGE(C33:N33)</f>
        <v>-216.666666666667</v>
      </c>
    </row>
    <row r="68" ht="16.5" customHeight="1">
      <c r="B68" t="s">
        <v>1623</v>
      </c>
      <c r="C68" s="619" cm="1">
        <f t="array" ref="C68">O39</f>
        <v>19200</v>
      </c>
      <c r="D68" s="619">
        <f>AVERAGE(C39:N39)</f>
        <v>1600</v>
      </c>
    </row>
    <row r="69" ht="16.5" customHeight="1">
      <c r="B69" t="s">
        <v>1624</v>
      </c>
      <c r="C69" s="619" cm="1">
        <f t="array" ref="C69">O45</f>
        <v>3900</v>
      </c>
      <c r="D69" s="619">
        <f>AVERAGE(C45:N45)</f>
        <v>325</v>
      </c>
    </row>
    <row r="70" ht="16.5" customHeight="1">
      <c r="B70" t="s">
        <v>729</v>
      </c>
      <c r="C70" s="619" cm="1">
        <f t="array" ref="C70">O51</f>
        <v>8000</v>
      </c>
      <c r="D70" s="619">
        <f>AVERAGE(C51:N51)</f>
        <v>666.666666666667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Shortcut</cp:lastModifiedBy>
  <dcterms:created xsi:type="dcterms:W3CDTF">2025-05-22T23:41:35Z</dcterms:created>
  <dcterms:modified xsi:type="dcterms:W3CDTF">2025-05-22T23:45:09Z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1" name="shortcut_file_id">
    <vt:lpwstr>c5a93cb9-5963-473a-9cc7-043277688687</vt:lpwstr>
  </property>
</Properties>
</file>