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cells/tests/excel-roundtrips/data/logical/"/>
    </mc:Choice>
  </mc:AlternateContent>
  <xr:revisionPtr revIDLastSave="0" documentId="13_ncr:1_{0CF346DB-2E12-E746-B802-9A91BFE91B71}" xr6:coauthVersionLast="47" xr6:coauthVersionMax="47" xr10:uidLastSave="{00000000-0000-0000-0000-000000000000}"/>
  <bookViews>
    <workbookView xWindow="1000" yWindow="660" windowWidth="28220" windowHeight="17960" xr2:uid="{7962C6A1-ACEE-2046-8E2E-AB24DAF72A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6" i="1" l="1" a="1"/>
  <c r="D226" i="1" s="1"/>
  <c r="E226" i="1" s="1"/>
  <c r="G226" i="1" s="1"/>
  <c r="D225" i="1" a="1"/>
  <c r="D225" i="1" s="1"/>
  <c r="E225" i="1" s="1"/>
  <c r="G225" i="1" s="1"/>
  <c r="D224" i="1" a="1"/>
  <c r="D224" i="1" s="1"/>
  <c r="E224" i="1" s="1"/>
  <c r="G224" i="1" s="1"/>
  <c r="D223" i="1" a="1"/>
  <c r="D223" i="1" s="1"/>
  <c r="E223" i="1" s="1"/>
  <c r="G223" i="1" s="1"/>
  <c r="D222" i="1" a="1"/>
  <c r="D222" i="1" s="1"/>
  <c r="E222" i="1" s="1"/>
  <c r="G222" i="1" s="1"/>
  <c r="D221" i="1" a="1"/>
  <c r="D221" i="1" s="1"/>
  <c r="E221" i="1" s="1"/>
  <c r="G221" i="1" s="1"/>
  <c r="D220" i="1" a="1"/>
  <c r="D220" i="1" s="1"/>
  <c r="E220" i="1" s="1"/>
  <c r="G220" i="1" s="1"/>
  <c r="D219" i="1" a="1"/>
  <c r="D219" i="1" s="1"/>
  <c r="E219" i="1" s="1"/>
  <c r="G219" i="1" s="1"/>
  <c r="D218" i="1" a="1"/>
  <c r="D218" i="1" s="1"/>
  <c r="E218" i="1" s="1"/>
  <c r="G218" i="1" s="1"/>
  <c r="D217" i="1" a="1"/>
  <c r="D217" i="1" s="1"/>
  <c r="E217" i="1" s="1"/>
  <c r="G217" i="1" s="1"/>
  <c r="D216" i="1" a="1"/>
  <c r="D216" i="1" s="1"/>
  <c r="E216" i="1" s="1"/>
  <c r="G216" i="1" s="1"/>
  <c r="D215" i="1" a="1"/>
  <c r="D215" i="1" s="1"/>
  <c r="E215" i="1" s="1"/>
  <c r="G215" i="1" s="1"/>
  <c r="D214" i="1" a="1"/>
  <c r="D214" i="1" s="1"/>
  <c r="E214" i="1" s="1"/>
  <c r="G214" i="1" s="1"/>
  <c r="D213" i="1" a="1"/>
  <c r="D213" i="1" s="1"/>
  <c r="E213" i="1" s="1"/>
  <c r="G213" i="1" s="1"/>
  <c r="D212" i="1" a="1"/>
  <c r="D212" i="1" s="1"/>
  <c r="E212" i="1" s="1"/>
  <c r="G212" i="1" s="1"/>
  <c r="D206" i="1"/>
  <c r="E206" i="1" s="1"/>
  <c r="G206" i="1" s="1"/>
  <c r="D205" i="1"/>
  <c r="E205" i="1" s="1"/>
  <c r="G205" i="1" s="1"/>
  <c r="E203" i="1"/>
  <c r="G203" i="1" s="1"/>
  <c r="D203" i="1"/>
  <c r="D202" i="1"/>
  <c r="E202" i="1" s="1"/>
  <c r="G202" i="1" s="1"/>
  <c r="D201" i="1"/>
  <c r="E201" i="1" s="1"/>
  <c r="G201" i="1" s="1"/>
  <c r="D200" i="1"/>
  <c r="E200" i="1" s="1"/>
  <c r="G200" i="1" s="1"/>
  <c r="E199" i="1"/>
  <c r="G199" i="1" s="1"/>
  <c r="D199" i="1"/>
  <c r="D198" i="1"/>
  <c r="E198" i="1" s="1"/>
  <c r="G198" i="1" s="1"/>
  <c r="D197" i="1"/>
  <c r="E197" i="1" s="1"/>
  <c r="G197" i="1" s="1"/>
  <c r="D196" i="1"/>
  <c r="E196" i="1" s="1"/>
  <c r="G196" i="1" s="1"/>
  <c r="E195" i="1"/>
  <c r="G195" i="1" s="1"/>
  <c r="D195" i="1"/>
  <c r="D194" i="1"/>
  <c r="E194" i="1" s="1"/>
  <c r="G194" i="1" s="1"/>
  <c r="D193" i="1"/>
  <c r="E193" i="1" s="1"/>
  <c r="G193" i="1" s="1"/>
  <c r="D192" i="1"/>
  <c r="E192" i="1" s="1"/>
  <c r="G192" i="1" s="1"/>
  <c r="D185" i="1"/>
  <c r="E185" i="1" s="1"/>
  <c r="G185" i="1" s="1"/>
  <c r="D184" i="1"/>
  <c r="E184" i="1" s="1"/>
  <c r="G184" i="1" s="1"/>
  <c r="D183" i="1"/>
  <c r="E183" i="1" s="1"/>
  <c r="G183" i="1" s="1"/>
  <c r="D181" i="1"/>
  <c r="E181" i="1" s="1"/>
  <c r="G181" i="1" s="1"/>
  <c r="D180" i="1"/>
  <c r="E180" i="1" s="1"/>
  <c r="G180" i="1" s="1"/>
  <c r="D179" i="1"/>
  <c r="E179" i="1" s="1"/>
  <c r="G179" i="1" s="1"/>
  <c r="D177" i="1"/>
  <c r="E177" i="1" s="1"/>
  <c r="G177" i="1" s="1"/>
  <c r="D176" i="1"/>
  <c r="E176" i="1" s="1"/>
  <c r="G176" i="1" s="1"/>
  <c r="E174" i="1"/>
  <c r="G174" i="1" s="1"/>
  <c r="D174" i="1"/>
  <c r="D173" i="1"/>
  <c r="E173" i="1" s="1"/>
  <c r="G173" i="1" s="1"/>
  <c r="D167" i="1"/>
  <c r="E167" i="1" s="1"/>
  <c r="G167" i="1" s="1"/>
  <c r="D166" i="1"/>
  <c r="E166" i="1" s="1"/>
  <c r="G166" i="1" s="1"/>
  <c r="D164" i="1"/>
  <c r="E164" i="1" s="1"/>
  <c r="G164" i="1" s="1"/>
  <c r="D163" i="1"/>
  <c r="E163" i="1" s="1"/>
  <c r="G163" i="1" s="1"/>
  <c r="D162" i="1"/>
  <c r="E162" i="1" s="1"/>
  <c r="G162" i="1" s="1"/>
  <c r="D160" i="1"/>
  <c r="E160" i="1" s="1"/>
  <c r="G160" i="1" s="1"/>
  <c r="D158" i="1"/>
  <c r="E158" i="1" s="1"/>
  <c r="G158" i="1" s="1"/>
  <c r="E157" i="1"/>
  <c r="G157" i="1" s="1"/>
  <c r="D157" i="1"/>
  <c r="D156" i="1"/>
  <c r="E156" i="1" s="1"/>
  <c r="G156" i="1" s="1"/>
  <c r="D155" i="1"/>
  <c r="E155" i="1" s="1"/>
  <c r="G155" i="1" s="1"/>
  <c r="D154" i="1"/>
  <c r="E154" i="1" s="1"/>
  <c r="G154" i="1" s="1"/>
  <c r="E153" i="1"/>
  <c r="G153" i="1" s="1"/>
  <c r="D153" i="1"/>
  <c r="D152" i="1"/>
  <c r="E152" i="1" s="1"/>
  <c r="G152" i="1" s="1"/>
  <c r="D146" i="1" a="1"/>
  <c r="D146" i="1"/>
  <c r="E146" i="1" s="1"/>
  <c r="G146" i="1" s="1"/>
  <c r="D145" i="1" a="1"/>
  <c r="D145" i="1"/>
  <c r="E145" i="1" s="1"/>
  <c r="G145" i="1" s="1"/>
  <c r="D144" i="1" a="1"/>
  <c r="D144" i="1"/>
  <c r="E144" i="1" s="1"/>
  <c r="G144" i="1" s="1"/>
  <c r="D142" i="1" a="1"/>
  <c r="D142" i="1"/>
  <c r="E142" i="1" s="1"/>
  <c r="G142" i="1" s="1"/>
  <c r="D141" i="1" a="1"/>
  <c r="D141" i="1"/>
  <c r="E141" i="1" s="1"/>
  <c r="G141" i="1" s="1"/>
  <c r="D140" i="1" a="1"/>
  <c r="D140" i="1"/>
  <c r="E140" i="1" s="1"/>
  <c r="G140" i="1" s="1"/>
  <c r="D139" i="1" a="1"/>
  <c r="D139" i="1"/>
  <c r="E139" i="1" s="1"/>
  <c r="G139" i="1" s="1"/>
  <c r="D138" i="1" a="1"/>
  <c r="D138" i="1"/>
  <c r="E138" i="1" s="1"/>
  <c r="G138" i="1" s="1"/>
  <c r="D137" i="1" a="1"/>
  <c r="D137" i="1"/>
  <c r="E137" i="1" s="1"/>
  <c r="G137" i="1" s="1"/>
  <c r="D136" i="1" a="1"/>
  <c r="D136" i="1"/>
  <c r="E136" i="1" s="1"/>
  <c r="G136" i="1" s="1"/>
  <c r="D135" i="1" a="1"/>
  <c r="D135" i="1"/>
  <c r="E135" i="1" s="1"/>
  <c r="G135" i="1" s="1"/>
  <c r="D134" i="1" a="1"/>
  <c r="D134" i="1"/>
  <c r="E134" i="1" s="1"/>
  <c r="G134" i="1" s="1"/>
  <c r="D133" i="1" a="1"/>
  <c r="D133" i="1"/>
  <c r="E133" i="1" s="1"/>
  <c r="G133" i="1" s="1"/>
  <c r="D132" i="1" a="1"/>
  <c r="D132" i="1"/>
  <c r="E132" i="1" s="1"/>
  <c r="G132" i="1" s="1"/>
  <c r="D131" i="1" a="1"/>
  <c r="D131" i="1"/>
  <c r="E131" i="1" s="1"/>
  <c r="G131" i="1" s="1"/>
  <c r="D125" i="1" a="1"/>
  <c r="D125" i="1"/>
  <c r="E125" i="1" s="1"/>
  <c r="G125" i="1" s="1"/>
  <c r="D124" i="1" a="1"/>
  <c r="D124" i="1"/>
  <c r="E124" i="1" s="1"/>
  <c r="G124" i="1" s="1"/>
  <c r="D123" i="1" a="1"/>
  <c r="D123" i="1"/>
  <c r="E123" i="1" s="1"/>
  <c r="G123" i="1" s="1"/>
  <c r="D122" i="1" a="1"/>
  <c r="D122" i="1"/>
  <c r="E122" i="1" s="1"/>
  <c r="G122" i="1" s="1"/>
  <c r="D121" i="1" a="1"/>
  <c r="D121" i="1"/>
  <c r="E121" i="1" s="1"/>
  <c r="G121" i="1" s="1"/>
  <c r="D119" i="1" a="1"/>
  <c r="D119" i="1"/>
  <c r="E119" i="1" s="1"/>
  <c r="G119" i="1" s="1"/>
  <c r="D118" i="1" a="1"/>
  <c r="D118" i="1"/>
  <c r="E118" i="1" s="1"/>
  <c r="G118" i="1" s="1"/>
  <c r="D117" i="1" a="1"/>
  <c r="D117" i="1"/>
  <c r="E117" i="1" s="1"/>
  <c r="G117" i="1" s="1"/>
  <c r="D116" i="1" a="1"/>
  <c r="D116" i="1"/>
  <c r="E116" i="1" s="1"/>
  <c r="G116" i="1" s="1"/>
  <c r="D115" i="1" a="1"/>
  <c r="D115" i="1"/>
  <c r="E115" i="1" s="1"/>
  <c r="G115" i="1" s="1"/>
  <c r="D114" i="1" a="1"/>
  <c r="D114" i="1"/>
  <c r="E114" i="1" s="1"/>
  <c r="G114" i="1" s="1"/>
  <c r="D113" i="1" a="1"/>
  <c r="D113" i="1"/>
  <c r="E113" i="1" s="1"/>
  <c r="G113" i="1" s="1"/>
  <c r="D112" i="1" a="1"/>
  <c r="D112" i="1"/>
  <c r="E112" i="1" s="1"/>
  <c r="G112" i="1" s="1"/>
  <c r="D106" i="1"/>
  <c r="E106" i="1" s="1"/>
  <c r="G106" i="1" s="1"/>
  <c r="D105" i="1"/>
  <c r="E105" i="1" s="1"/>
  <c r="G105" i="1" s="1"/>
  <c r="E104" i="1"/>
  <c r="G104" i="1" s="1"/>
  <c r="D104" i="1"/>
  <c r="D103" i="1"/>
  <c r="E103" i="1" s="1"/>
  <c r="G103" i="1" s="1"/>
  <c r="D102" i="1"/>
  <c r="E102" i="1" s="1"/>
  <c r="G102" i="1" s="1"/>
  <c r="D101" i="1"/>
  <c r="E101" i="1" s="1"/>
  <c r="G101" i="1" s="1"/>
  <c r="D99" i="1"/>
  <c r="E99" i="1" s="1"/>
  <c r="G99" i="1" s="1"/>
  <c r="D98" i="1"/>
  <c r="E98" i="1" s="1"/>
  <c r="G98" i="1" s="1"/>
  <c r="D97" i="1"/>
  <c r="E97" i="1" s="1"/>
  <c r="G97" i="1" s="1"/>
  <c r="E96" i="1"/>
  <c r="G96" i="1" s="1"/>
  <c r="D96" i="1"/>
  <c r="D95" i="1"/>
  <c r="E95" i="1" s="1"/>
  <c r="G95" i="1" s="1"/>
  <c r="D94" i="1"/>
  <c r="E94" i="1" s="1"/>
  <c r="G94" i="1" s="1"/>
  <c r="D93" i="1"/>
  <c r="E93" i="1" s="1"/>
  <c r="G93" i="1" s="1"/>
  <c r="E92" i="1"/>
  <c r="G92" i="1" s="1"/>
  <c r="D92" i="1"/>
  <c r="D91" i="1"/>
  <c r="E91" i="1" s="1"/>
  <c r="G91" i="1" s="1"/>
  <c r="D90" i="1"/>
  <c r="E90" i="1" s="1"/>
  <c r="G90" i="1" s="1"/>
  <c r="D89" i="1"/>
  <c r="E89" i="1" s="1"/>
  <c r="G89" i="1" s="1"/>
  <c r="E88" i="1"/>
  <c r="G88" i="1" s="1"/>
  <c r="D88" i="1"/>
  <c r="D87" i="1"/>
  <c r="E87" i="1" s="1"/>
  <c r="G87" i="1" s="1"/>
  <c r="D86" i="1"/>
  <c r="E86" i="1" s="1"/>
  <c r="G86" i="1" s="1"/>
  <c r="D85" i="1"/>
  <c r="E85" i="1" s="1"/>
  <c r="G85" i="1" s="1"/>
  <c r="C69" i="1"/>
  <c r="C70" i="1"/>
  <c r="C71" i="1"/>
  <c r="C72" i="1"/>
  <c r="C73" i="1"/>
  <c r="C74" i="1"/>
  <c r="C75" i="1"/>
  <c r="C76" i="1"/>
  <c r="C78" i="1"/>
  <c r="C53" i="1"/>
  <c r="D53" i="1"/>
  <c r="E53" i="1"/>
  <c r="F53" i="1"/>
  <c r="G53" i="1"/>
  <c r="H53" i="1"/>
  <c r="I53" i="1"/>
  <c r="J53" i="1"/>
  <c r="L53" i="1"/>
  <c r="M53" i="1"/>
  <c r="C54" i="1"/>
  <c r="D54" i="1"/>
  <c r="E54" i="1"/>
  <c r="F54" i="1"/>
  <c r="G54" i="1"/>
  <c r="H54" i="1"/>
  <c r="I54" i="1"/>
  <c r="J54" i="1"/>
  <c r="L54" i="1"/>
  <c r="M54" i="1"/>
  <c r="C55" i="1"/>
  <c r="D55" i="1"/>
  <c r="E55" i="1"/>
  <c r="F55" i="1"/>
  <c r="G55" i="1"/>
  <c r="H55" i="1"/>
  <c r="I55" i="1"/>
  <c r="J55" i="1"/>
  <c r="K55" i="1"/>
  <c r="L55" i="1"/>
  <c r="C56" i="1"/>
  <c r="D56" i="1"/>
  <c r="E56" i="1"/>
  <c r="F56" i="1"/>
  <c r="G56" i="1"/>
  <c r="H56" i="1"/>
  <c r="I56" i="1"/>
  <c r="J56" i="1"/>
  <c r="L56" i="1"/>
  <c r="C57" i="1"/>
  <c r="D57" i="1"/>
  <c r="E57" i="1"/>
  <c r="F57" i="1"/>
  <c r="G57" i="1"/>
  <c r="H57" i="1"/>
  <c r="I57" i="1"/>
  <c r="J57" i="1"/>
  <c r="L57" i="1"/>
  <c r="M57" i="1"/>
  <c r="C58" i="1"/>
  <c r="D58" i="1"/>
  <c r="E58" i="1"/>
  <c r="F58" i="1"/>
  <c r="G58" i="1"/>
  <c r="H58" i="1"/>
  <c r="I58" i="1"/>
  <c r="J58" i="1"/>
  <c r="M58" i="1"/>
  <c r="C59" i="1"/>
  <c r="D59" i="1"/>
  <c r="E59" i="1"/>
  <c r="F59" i="1"/>
  <c r="G59" i="1"/>
  <c r="H59" i="1"/>
  <c r="I59" i="1"/>
  <c r="J59" i="1"/>
  <c r="K59" i="1"/>
  <c r="L59" i="1"/>
  <c r="C60" i="1"/>
  <c r="D60" i="1"/>
  <c r="E60" i="1"/>
  <c r="F60" i="1"/>
  <c r="G60" i="1"/>
  <c r="H60" i="1"/>
  <c r="I60" i="1"/>
  <c r="J60" i="1"/>
  <c r="L60" i="1"/>
  <c r="E61" i="1"/>
  <c r="I61" i="1"/>
  <c r="M61" i="1"/>
  <c r="C62" i="1"/>
  <c r="E62" i="1"/>
  <c r="F62" i="1"/>
  <c r="G62" i="1"/>
  <c r="H62" i="1"/>
  <c r="I62" i="1"/>
  <c r="J62" i="1"/>
  <c r="L62" i="1"/>
  <c r="M62" i="1"/>
  <c r="C63" i="1"/>
  <c r="F63" i="1"/>
  <c r="G63" i="1"/>
  <c r="J63" i="1"/>
  <c r="K63" i="1"/>
  <c r="C37" i="1"/>
  <c r="D37" i="1"/>
  <c r="E37" i="1"/>
  <c r="F37" i="1"/>
  <c r="G37" i="1"/>
  <c r="H37" i="1"/>
  <c r="I37" i="1"/>
  <c r="J37" i="1"/>
  <c r="L37" i="1"/>
  <c r="C38" i="1"/>
  <c r="D38" i="1"/>
  <c r="E38" i="1"/>
  <c r="F38" i="1"/>
  <c r="G38" i="1"/>
  <c r="H38" i="1"/>
  <c r="I38" i="1"/>
  <c r="J38" i="1"/>
  <c r="L38" i="1"/>
  <c r="M38" i="1"/>
  <c r="C39" i="1"/>
  <c r="D39" i="1"/>
  <c r="E39" i="1"/>
  <c r="F39" i="1"/>
  <c r="G39" i="1"/>
  <c r="H39" i="1"/>
  <c r="I39" i="1"/>
  <c r="J39" i="1"/>
  <c r="L39" i="1"/>
  <c r="M39" i="1"/>
  <c r="C40" i="1"/>
  <c r="D40" i="1"/>
  <c r="E40" i="1"/>
  <c r="F40" i="1"/>
  <c r="G40" i="1"/>
  <c r="H40" i="1"/>
  <c r="I40" i="1"/>
  <c r="J40" i="1"/>
  <c r="K40" i="1"/>
  <c r="L40" i="1"/>
  <c r="C41" i="1"/>
  <c r="D41" i="1"/>
  <c r="E41" i="1"/>
  <c r="F41" i="1"/>
  <c r="G41" i="1"/>
  <c r="H41" i="1"/>
  <c r="I41" i="1"/>
  <c r="J41" i="1"/>
  <c r="L41" i="1"/>
  <c r="C42" i="1"/>
  <c r="D42" i="1"/>
  <c r="E42" i="1"/>
  <c r="F42" i="1"/>
  <c r="G42" i="1"/>
  <c r="H42" i="1"/>
  <c r="I42" i="1"/>
  <c r="J42" i="1"/>
  <c r="L42" i="1"/>
  <c r="M42" i="1"/>
  <c r="C43" i="1"/>
  <c r="D43" i="1"/>
  <c r="E43" i="1"/>
  <c r="F43" i="1"/>
  <c r="G43" i="1"/>
  <c r="H43" i="1"/>
  <c r="I43" i="1"/>
  <c r="J43" i="1"/>
  <c r="M43" i="1"/>
  <c r="C44" i="1"/>
  <c r="D44" i="1"/>
  <c r="E44" i="1"/>
  <c r="F44" i="1"/>
  <c r="G44" i="1"/>
  <c r="H44" i="1"/>
  <c r="I44" i="1"/>
  <c r="J44" i="1"/>
  <c r="K44" i="1"/>
  <c r="L44" i="1"/>
  <c r="D45" i="1"/>
  <c r="H45" i="1"/>
  <c r="K45" i="1"/>
  <c r="L45" i="1"/>
  <c r="D46" i="1"/>
  <c r="E46" i="1"/>
  <c r="F46" i="1"/>
  <c r="G46" i="1"/>
  <c r="H46" i="1"/>
  <c r="I46" i="1"/>
  <c r="K46" i="1"/>
  <c r="L46" i="1"/>
  <c r="M46" i="1"/>
  <c r="E47" i="1"/>
  <c r="F47" i="1"/>
  <c r="I47" i="1"/>
  <c r="J47" i="1"/>
  <c r="M47" i="1"/>
  <c r="C21" i="1"/>
  <c r="D21" i="1"/>
  <c r="E21" i="1"/>
  <c r="F21" i="1"/>
  <c r="G21" i="1"/>
  <c r="H21" i="1"/>
  <c r="I21" i="1"/>
  <c r="J21" i="1"/>
  <c r="K21" i="1"/>
  <c r="C22" i="1"/>
  <c r="D22" i="1"/>
  <c r="E22" i="1"/>
  <c r="F22" i="1"/>
  <c r="G22" i="1"/>
  <c r="H22" i="1"/>
  <c r="I22" i="1"/>
  <c r="J22" i="1"/>
  <c r="L22" i="1"/>
  <c r="C23" i="1"/>
  <c r="D23" i="1"/>
  <c r="E23" i="1"/>
  <c r="F23" i="1"/>
  <c r="G23" i="1"/>
  <c r="H23" i="1"/>
  <c r="I23" i="1"/>
  <c r="J23" i="1"/>
  <c r="L23" i="1"/>
  <c r="M23" i="1"/>
  <c r="C24" i="1"/>
  <c r="D24" i="1"/>
  <c r="E24" i="1"/>
  <c r="F24" i="1"/>
  <c r="G24" i="1"/>
  <c r="H24" i="1"/>
  <c r="I24" i="1"/>
  <c r="J24" i="1"/>
  <c r="L24" i="1"/>
  <c r="M24" i="1"/>
  <c r="C25" i="1"/>
  <c r="D25" i="1"/>
  <c r="E25" i="1"/>
  <c r="F25" i="1"/>
  <c r="G25" i="1"/>
  <c r="H25" i="1"/>
  <c r="I25" i="1"/>
  <c r="J25" i="1"/>
  <c r="K25" i="1"/>
  <c r="L25" i="1"/>
  <c r="C26" i="1"/>
  <c r="D26" i="1"/>
  <c r="E26" i="1"/>
  <c r="F26" i="1"/>
  <c r="G26" i="1"/>
  <c r="H26" i="1"/>
  <c r="I26" i="1"/>
  <c r="J26" i="1"/>
  <c r="L26" i="1"/>
  <c r="C27" i="1"/>
  <c r="D27" i="1"/>
  <c r="E27" i="1"/>
  <c r="F27" i="1"/>
  <c r="G27" i="1"/>
  <c r="H27" i="1"/>
  <c r="I27" i="1"/>
  <c r="J27" i="1"/>
  <c r="L27" i="1"/>
  <c r="M27" i="1"/>
  <c r="C28" i="1"/>
  <c r="D28" i="1"/>
  <c r="E28" i="1"/>
  <c r="F28" i="1"/>
  <c r="G28" i="1"/>
  <c r="H28" i="1"/>
  <c r="I28" i="1"/>
  <c r="J28" i="1"/>
  <c r="M28" i="1"/>
  <c r="C29" i="1"/>
  <c r="F29" i="1"/>
  <c r="G29" i="1"/>
  <c r="J29" i="1"/>
  <c r="K29" i="1"/>
  <c r="C30" i="1"/>
  <c r="D30" i="1"/>
  <c r="E30" i="1"/>
  <c r="F30" i="1"/>
  <c r="G30" i="1"/>
  <c r="H30" i="1"/>
  <c r="J30" i="1"/>
  <c r="K30" i="1"/>
  <c r="L30" i="1"/>
  <c r="M30" i="1"/>
  <c r="D31" i="1"/>
  <c r="E31" i="1"/>
  <c r="H31" i="1"/>
  <c r="I31" i="1"/>
  <c r="L31" i="1"/>
  <c r="M31" i="1"/>
  <c r="C15" i="1"/>
  <c r="M59" i="1" s="1"/>
  <c r="C14" i="1"/>
  <c r="L58" i="1" s="1"/>
  <c r="C13" i="1"/>
  <c r="K57" i="1" s="1"/>
  <c r="K41" i="1" l="1"/>
  <c r="K56" i="1"/>
  <c r="L29" i="1"/>
  <c r="K28" i="1"/>
  <c r="C47" i="1"/>
  <c r="M45" i="1"/>
  <c r="K43" i="1"/>
  <c r="D63" i="1"/>
  <c r="M60" i="1"/>
  <c r="K58" i="1"/>
  <c r="D100" i="1"/>
  <c r="E100" i="1" s="1"/>
  <c r="G100" i="1" s="1"/>
  <c r="D161" i="1"/>
  <c r="E161" i="1" s="1"/>
  <c r="G161" i="1" s="1"/>
  <c r="D165" i="1"/>
  <c r="E165" i="1" s="1"/>
  <c r="G165" i="1" s="1"/>
  <c r="D178" i="1"/>
  <c r="E178" i="1" s="1"/>
  <c r="G178" i="1" s="1"/>
  <c r="D182" i="1"/>
  <c r="E182" i="1" s="1"/>
  <c r="G182" i="1" s="1"/>
  <c r="D186" i="1"/>
  <c r="E186" i="1" s="1"/>
  <c r="G186" i="1" s="1"/>
  <c r="D204" i="1"/>
  <c r="E204" i="1" s="1"/>
  <c r="G204" i="1" s="1"/>
  <c r="L61" i="1"/>
  <c r="K60" i="1"/>
  <c r="K31" i="1"/>
  <c r="I29" i="1"/>
  <c r="M21" i="1"/>
  <c r="L47" i="1"/>
  <c r="J45" i="1"/>
  <c r="M63" i="1"/>
  <c r="K61" i="1"/>
  <c r="D175" i="1"/>
  <c r="E175" i="1" s="1"/>
  <c r="G175" i="1" s="1"/>
  <c r="J31" i="1"/>
  <c r="I30" i="1"/>
  <c r="H29" i="1"/>
  <c r="M22" i="1"/>
  <c r="L21" i="1"/>
  <c r="K47" i="1"/>
  <c r="J46" i="1"/>
  <c r="I45" i="1"/>
  <c r="M37" i="1"/>
  <c r="L63" i="1"/>
  <c r="K62" i="1"/>
  <c r="J61" i="1"/>
  <c r="C79" i="1"/>
  <c r="K22" i="1"/>
  <c r="K37" i="1"/>
  <c r="D120" i="1" a="1"/>
  <c r="D120" i="1" s="1"/>
  <c r="E120" i="1" s="1"/>
  <c r="G120" i="1" s="1"/>
  <c r="D159" i="1"/>
  <c r="E159" i="1" s="1"/>
  <c r="G159" i="1" s="1"/>
  <c r="G31" i="1"/>
  <c r="F45" i="1"/>
  <c r="M40" i="1"/>
  <c r="K38" i="1"/>
  <c r="I63" i="1"/>
  <c r="G61" i="1"/>
  <c r="M55" i="1"/>
  <c r="K53" i="1"/>
  <c r="G45" i="1"/>
  <c r="H61" i="1"/>
  <c r="C77" i="1"/>
  <c r="D143" i="1" a="1"/>
  <c r="D143" i="1" s="1"/>
  <c r="E143" i="1" s="1"/>
  <c r="G143" i="1" s="1"/>
  <c r="E29" i="1"/>
  <c r="M25" i="1"/>
  <c r="K23" i="1"/>
  <c r="H47" i="1"/>
  <c r="F31" i="1"/>
  <c r="D29" i="1"/>
  <c r="M26" i="1"/>
  <c r="K24" i="1"/>
  <c r="G47" i="1"/>
  <c r="E45" i="1"/>
  <c r="M41" i="1"/>
  <c r="K39" i="1"/>
  <c r="H63" i="1"/>
  <c r="F61" i="1"/>
  <c r="M56" i="1"/>
  <c r="K54" i="1"/>
  <c r="K26" i="1"/>
  <c r="C45" i="1"/>
  <c r="D61" i="1"/>
  <c r="C31" i="1"/>
  <c r="M29" i="1"/>
  <c r="L28" i="1"/>
  <c r="K27" i="1"/>
  <c r="D47" i="1"/>
  <c r="C46" i="1"/>
  <c r="M44" i="1"/>
  <c r="L43" i="1"/>
  <c r="K42" i="1"/>
  <c r="E63" i="1"/>
  <c r="D62" i="1"/>
  <c r="C6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<sst xmlns="http://schemas.openxmlformats.org/spreadsheetml/2006/main" count="390" uniqueCount="287">
  <si>
    <t>Test Input Values</t>
  </si>
  <si>
    <t>Zero</t>
  </si>
  <si>
    <t>One</t>
  </si>
  <si>
    <t>A \ B</t>
  </si>
  <si>
    <t>LOGICAL FORMULA TEST SUITE</t>
  </si>
  <si>
    <t>One (1)</t>
  </si>
  <si>
    <t>Zero (0)</t>
  </si>
  <si>
    <t>Neg One (-1)</t>
  </si>
  <si>
    <t>Decimal (42.5)</t>
  </si>
  <si>
    <t>Text ("Hello")</t>
  </si>
  <si>
    <t>Hello</t>
  </si>
  <si>
    <t>Empty String</t>
  </si>
  <si>
    <t>#N/A Error</t>
  </si>
  <si>
    <t>#VALUE! Error</t>
  </si>
  <si>
    <t>#DIV/0! Error</t>
  </si>
  <si>
    <t>AND(A, B)</t>
  </si>
  <si>
    <t>"Hello"</t>
  </si>
  <si>
    <t>""</t>
  </si>
  <si>
    <t>OR(A, B)</t>
  </si>
  <si>
    <t>XOR(A, B)</t>
  </si>
  <si>
    <t>NOT(A)</t>
  </si>
  <si>
    <t>Input (A)</t>
  </si>
  <si>
    <t>IF(condition, value_if_true, value_if_false)</t>
  </si>
  <si>
    <t>Test #</t>
  </si>
  <si>
    <t>Description</t>
  </si>
  <si>
    <t>Formula</t>
  </si>
  <si>
    <t>Result</t>
  </si>
  <si>
    <t>Expected</t>
  </si>
  <si>
    <t>Yes</t>
  </si>
  <si>
    <t>No</t>
  </si>
  <si>
    <t>Pos</t>
  </si>
  <si>
    <t>Match</t>
  </si>
  <si>
    <t>NonZero</t>
  </si>
  <si>
    <t>Nested IF</t>
  </si>
  <si>
    <t>Small</t>
  </si>
  <si>
    <t>Both</t>
  </si>
  <si>
    <t>Any</t>
  </si>
  <si>
    <t>Negated</t>
  </si>
  <si>
    <t>Pass?</t>
  </si>
  <si>
    <t>Notes</t>
  </si>
  <si>
    <t>IF with TRUE</t>
  </si>
  <si>
    <t>Basic TRUE returns value_if_true</t>
  </si>
  <si>
    <t>IF with FALSE</t>
  </si>
  <si>
    <t>Basic FALSE returns value_if_false</t>
  </si>
  <si>
    <t>IF with 1 (truthy)</t>
  </si>
  <si>
    <t>Non-zero = TRUE</t>
  </si>
  <si>
    <t>IF with 0 (falsy)</t>
  </si>
  <si>
    <t>Zero = FALSE</t>
  </si>
  <si>
    <t>IF with -1 (truthy)</t>
  </si>
  <si>
    <t>Negative = TRUE</t>
  </si>
  <si>
    <t>IF with 42.5 (truthy)</t>
  </si>
  <si>
    <t>Any non-zero = TRUE</t>
  </si>
  <si>
    <t>IF with &gt; comparison</t>
  </si>
  <si>
    <t>42.5 &gt; 0</t>
  </si>
  <si>
    <t>IF with = comparison</t>
  </si>
  <si>
    <t>TRUE=TRUE</t>
  </si>
  <si>
    <t>IF with &lt;&gt; comparison</t>
  </si>
  <si>
    <t>NZ</t>
  </si>
  <si>
    <t>0 &lt;&gt; 0 is FALSE</t>
  </si>
  <si>
    <t>1&gt;0 but not &gt;5</t>
  </si>
  <si>
    <t>IF with AND condition</t>
  </si>
  <si>
    <t>TRUE AND 1=TRUE</t>
  </si>
  <si>
    <t>IF with OR condition</t>
  </si>
  <si>
    <t>FALSE OR TRUE=TRUE</t>
  </si>
  <si>
    <t>IF with NOT condition</t>
  </si>
  <si>
    <t>NOT(FALSE)=TRUE</t>
  </si>
  <si>
    <t>IF omit false_value</t>
  </si>
  <si>
    <t>Omitted false returns FALSE/0</t>
  </si>
  <si>
    <t>IF omit false (FALSE cond)</t>
  </si>
  <si>
    <t>Returns FALSE when omitted</t>
  </si>
  <si>
    <t>IF error in condition</t>
  </si>
  <si>
    <t>Error propagates</t>
  </si>
  <si>
    <t>IF ref to TRUE cell</t>
  </si>
  <si>
    <t>T</t>
  </si>
  <si>
    <t>Cell ref TRUE</t>
  </si>
  <si>
    <t>IF ref to FALSE cell</t>
  </si>
  <si>
    <t>F</t>
  </si>
  <si>
    <t>Cell ref FALSE</t>
  </si>
  <si>
    <t>IF numeric result</t>
  </si>
  <si>
    <t>Numeric returns</t>
  </si>
  <si>
    <t>IF formula in true branch</t>
  </si>
  <si>
    <t>1+42.5</t>
  </si>
  <si>
    <t>IF empty string condition</t>
  </si>
  <si>
    <t>Text as condition errors</t>
  </si>
  <si>
    <t>IF with comparison chain</t>
  </si>
  <si>
    <t>GE</t>
  </si>
  <si>
    <t>42.5&gt;=1</t>
  </si>
  <si>
    <t>IFS(condition1, value1, condition2, value2, ...)</t>
  </si>
  <si>
    <t>First condition TRUE</t>
  </si>
  <si>
    <t>A</t>
  </si>
  <si>
    <t>Returns first TRUE match</t>
  </si>
  <si>
    <t>Second condition TRUE</t>
  </si>
  <si>
    <t>B</t>
  </si>
  <si>
    <t>Skips FALSE, returns B</t>
  </si>
  <si>
    <t>Third condition TRUE</t>
  </si>
  <si>
    <t>C</t>
  </si>
  <si>
    <t>Falls through to third</t>
  </si>
  <si>
    <t>No condition TRUE</t>
  </si>
  <si>
    <t>No match returns #N/A</t>
  </si>
  <si>
    <t>Numeric condition 1</t>
  </si>
  <si>
    <t>1 is truthy</t>
  </si>
  <si>
    <t>Numeric condition 0</t>
  </si>
  <si>
    <t>0 is falsy, 1 is truthy</t>
  </si>
  <si>
    <t>Comparison conditions</t>
  </si>
  <si>
    <t>1 &gt; 0</t>
  </si>
  <si>
    <t>With TRUE catch-all</t>
  </si>
  <si>
    <t>Med</t>
  </si>
  <si>
    <t>42.5 &gt; 10</t>
  </si>
  <si>
    <t>Error in condition</t>
  </si>
  <si>
    <t>All FALSE conditions</t>
  </si>
  <si>
    <t>No truthy condition</t>
  </si>
  <si>
    <t>Single pair</t>
  </si>
  <si>
    <t>Only</t>
  </si>
  <si>
    <t>Minimum valid call</t>
  </si>
  <si>
    <t>Nested function cond</t>
  </si>
  <si>
    <t>AND returns TRUE</t>
  </si>
  <si>
    <t>Value is formula</t>
  </si>
  <si>
    <t>Value can be expression</t>
  </si>
  <si>
    <t>Multiple TRUE - first wins</t>
  </si>
  <si>
    <t>First</t>
  </si>
  <si>
    <t>Stops at first TRUE</t>
  </si>
  <si>
    <t>SWITCH(expression, value1, result1, value2, result2, ..., default)</t>
  </si>
  <si>
    <t>Match first value</t>
  </si>
  <si>
    <t>Exact match on 1</t>
  </si>
  <si>
    <t>Match second value</t>
  </si>
  <si>
    <t>Two</t>
  </si>
  <si>
    <t>Exact match on 2</t>
  </si>
  <si>
    <t>Match third value</t>
  </si>
  <si>
    <t>Three</t>
  </si>
  <si>
    <t>Exact match on 3</t>
  </si>
  <si>
    <t>No match, with default</t>
  </si>
  <si>
    <t>Default</t>
  </si>
  <si>
    <t>Falls to default</t>
  </si>
  <si>
    <t>No match, no default</t>
  </si>
  <si>
    <t>No match = #N/A</t>
  </si>
  <si>
    <t>Match TRUE</t>
  </si>
  <si>
    <t>Boolean match</t>
  </si>
  <si>
    <t>Match FALSE</t>
  </si>
  <si>
    <t>Match text</t>
  </si>
  <si>
    <t>Formal</t>
  </si>
  <si>
    <t>Text matching</t>
  </si>
  <si>
    <t>Cell ref as expression</t>
  </si>
  <si>
    <t>C7=1</t>
  </si>
  <si>
    <t>Match 0</t>
  </si>
  <si>
    <t>C8=0</t>
  </si>
  <si>
    <t>Negative match</t>
  </si>
  <si>
    <t>Neg</t>
  </si>
  <si>
    <t>C9=-1</t>
  </si>
  <si>
    <t>Decimal match</t>
  </si>
  <si>
    <t>42.5 exact match</t>
  </si>
  <si>
    <t>Error expression</t>
  </si>
  <si>
    <t>Result is formula</t>
  </si>
  <si>
    <t>Result can be expression</t>
  </si>
  <si>
    <t>First match wins</t>
  </si>
  <si>
    <t>Duplicate value, first wins</t>
  </si>
  <si>
    <t>Empty string match</t>
  </si>
  <si>
    <t>Empty</t>
  </si>
  <si>
    <t>Empty string matches</t>
  </si>
  <si>
    <t>IFERROR(value, value_if_error)</t>
  </si>
  <si>
    <t>No error - number</t>
  </si>
  <si>
    <t>Returns value when no error</t>
  </si>
  <si>
    <t>No error - text</t>
  </si>
  <si>
    <t>OK</t>
  </si>
  <si>
    <t>Text passes through</t>
  </si>
  <si>
    <t>No error - formula</t>
  </si>
  <si>
    <t>Formula result passes</t>
  </si>
  <si>
    <t>No error - TRUE</t>
  </si>
  <si>
    <t>Boolean passes through</t>
  </si>
  <si>
    <t>No error - FALSE</t>
  </si>
  <si>
    <t>FALSE is not an error</t>
  </si>
  <si>
    <t>No error - 0</t>
  </si>
  <si>
    <t>Zero is not an error</t>
  </si>
  <si>
    <t>#DIV/0! caught</t>
  </si>
  <si>
    <t>DivErr</t>
  </si>
  <si>
    <t>Division by zero caught</t>
  </si>
  <si>
    <t>#N/A caught</t>
  </si>
  <si>
    <t>NA_Err</t>
  </si>
  <si>
    <t>#VALUE! caught</t>
  </si>
  <si>
    <t>Val_Err</t>
  </si>
  <si>
    <t>#DIV/0! from ref</t>
  </si>
  <si>
    <t>Div_Err</t>
  </si>
  <si>
    <t>Error fallback is 0</t>
  </si>
  <si>
    <t>Numeric fallback</t>
  </si>
  <si>
    <t>Error fallback is blank</t>
  </si>
  <si>
    <t>Empty string fallback</t>
  </si>
  <si>
    <t>Error fallback is formula</t>
  </si>
  <si>
    <t>Formula as fallback</t>
  </si>
  <si>
    <t>Nested IFERROR</t>
  </si>
  <si>
    <t>Both bad</t>
  </si>
  <si>
    <t>Chained error handling</t>
  </si>
  <si>
    <t>VLOOKUP with IFERROR</t>
  </si>
  <si>
    <t>Not found</t>
  </si>
  <si>
    <t>Common pattern</t>
  </si>
  <si>
    <t>No error - empty cell ref</t>
  </si>
  <si>
    <t>Empty cell = 0, not error</t>
  </si>
  <si>
    <t>IFNA(value, value_if_na)</t>
  </si>
  <si>
    <t>Non-error passes through</t>
  </si>
  <si>
    <t>Caught</t>
  </si>
  <si>
    <t>#N/A is caught</t>
  </si>
  <si>
    <t>#N/A from NA()</t>
  </si>
  <si>
    <t>NA() caught</t>
  </si>
  <si>
    <t>#VALUE! NOT caught</t>
  </si>
  <si>
    <t>Only #N/A is caught</t>
  </si>
  <si>
    <t>#DIV/0! NOT caught</t>
  </si>
  <si>
    <t>#DIV/0! passes through</t>
  </si>
  <si>
    <t>#DIV/0! not caught by IFNA</t>
  </si>
  <si>
    <t>VLOOKUP miss caught</t>
  </si>
  <si>
    <t>Missing</t>
  </si>
  <si>
    <t>VLOOKUP #N/A caught</t>
  </si>
  <si>
    <t>MATCH miss caught</t>
  </si>
  <si>
    <t>No match</t>
  </si>
  <si>
    <t>MATCH #N/A caught</t>
  </si>
  <si>
    <t>Fallback is formula</t>
  </si>
  <si>
    <t>Expression as fallback</t>
  </si>
  <si>
    <t>Fallback is 0</t>
  </si>
  <si>
    <t>FALSE not caught</t>
  </si>
  <si>
    <t>Zero not caught</t>
  </si>
  <si>
    <t>Nested IFNA</t>
  </si>
  <si>
    <t>Final</t>
  </si>
  <si>
    <t>Chained IFNA</t>
  </si>
  <si>
    <t>LET(name1, value1, [name2, value2, ...], calculation)</t>
  </si>
  <si>
    <t>Single variable</t>
  </si>
  <si>
    <t>Basic variable binding</t>
  </si>
  <si>
    <t>Two variables</t>
  </si>
  <si>
    <t>Two named variables</t>
  </si>
  <si>
    <t>Three variables</t>
  </si>
  <si>
    <t>Three variables multiplied</t>
  </si>
  <si>
    <t>Variable reuse</t>
  </si>
  <si>
    <t>Same var used multiple times</t>
  </si>
  <si>
    <t>Dependent variables</t>
  </si>
  <si>
    <t>y depends on x</t>
  </si>
  <si>
    <t>With cell refs</t>
  </si>
  <si>
    <t>Cell ref as value</t>
  </si>
  <si>
    <t>With formula value</t>
  </si>
  <si>
    <t>(1+42.5)/2</t>
  </si>
  <si>
    <t>String variable</t>
  </si>
  <si>
    <t>Hello World</t>
  </si>
  <si>
    <t>String concatenation</t>
  </si>
  <si>
    <t>Boolean variable</t>
  </si>
  <si>
    <t>On</t>
  </si>
  <si>
    <t>LET with IF</t>
  </si>
  <si>
    <t>Nested LET</t>
  </si>
  <si>
    <t>Nested LET scopes</t>
  </si>
  <si>
    <t>Complex calc</t>
  </si>
  <si>
    <t>Multi-step calc</t>
  </si>
  <si>
    <t>With AND/OR</t>
  </si>
  <si>
    <t>Logical in LET</t>
  </si>
  <si>
    <t>With IFERROR</t>
  </si>
  <si>
    <t>Safe</t>
  </si>
  <si>
    <t>Error handling in LET</t>
  </si>
  <si>
    <t>Zero variable</t>
  </si>
  <si>
    <t>Zero is falsy</t>
  </si>
  <si>
    <t>Array-like usage</t>
  </si>
  <si>
    <t>Range as variable</t>
  </si>
  <si>
    <t>LAMBDA(parameter1, [parameter2, ...], calculation)</t>
  </si>
  <si>
    <t>Basic inline call</t>
  </si>
  <si>
    <t>Immediately invoked lambda</t>
  </si>
  <si>
    <t>Two parameters</t>
  </si>
  <si>
    <t>Multi-param lambda</t>
  </si>
  <si>
    <t>Three parameters</t>
  </si>
  <si>
    <t>Three params</t>
  </si>
  <si>
    <t>String parameter</t>
  </si>
  <si>
    <t>Hi World</t>
  </si>
  <si>
    <t>String lambda</t>
  </si>
  <si>
    <t>Boolean logic</t>
  </si>
  <si>
    <t>Logical lambda</t>
  </si>
  <si>
    <t>With IF</t>
  </si>
  <si>
    <t>Conditional lambda</t>
  </si>
  <si>
    <t>With cell ref arg</t>
  </si>
  <si>
    <t>Cell ref as argument</t>
  </si>
  <si>
    <t>Nested functions</t>
  </si>
  <si>
    <t>Err</t>
  </si>
  <si>
    <t>Error handling in lambda</t>
  </si>
  <si>
    <t>Zero argument</t>
  </si>
  <si>
    <t>Zero as argument</t>
  </si>
  <si>
    <t>Negative argument</t>
  </si>
  <si>
    <t>Negative input</t>
  </si>
  <si>
    <t>Lambda with LET</t>
  </si>
  <si>
    <t>LET inside LAMBDA</t>
  </si>
  <si>
    <t>No-param lambda</t>
  </si>
  <si>
    <t>Constant lambda</t>
  </si>
  <si>
    <t>Boolean return</t>
  </si>
  <si>
    <t>Returns boolean</t>
  </si>
  <si>
    <t>Comparison lambda</t>
  </si>
  <si>
    <t>Two-arg comparison</t>
  </si>
  <si>
    <t>Chain operations</t>
  </si>
  <si>
    <t>Polynomial (3+1)^2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</si>
</sst>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5" fillId="2" borderId="0" xfId="0" applyFont="1" applyFill="1"/>
    <xf numFmtId="0" fontId="5" fillId="0" borderId="0" xfId="0" applyFont="1"/>
    <xf numFmtId="0" fontId="3" fillId="0" borderId="0" xfId="0" applyFont="1"/>
    <xf numFmtId="0" fontId="2" fillId="2" borderId="0" xfId="0" applyFont="1" applyFill="1"/>
    <xf numFmtId="0" fontId="4" fillId="3" borderId="0" xfId="0" applyFont="1" applyFill="1"/>
    <xf numFmtId="0" fontId="5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88909C8-F811-1446-8972-1707F54FB68E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5397-B27E-9144-8F2D-75EF70F7049B}">
  <dimension ref="B2:M226"/>
  <sheetViews>
    <sheetView tabSelected="1" workbookViewId="0">
      <selection activeCell="H6" sqref="H6"/>
    </sheetView>
  </sheetViews>
  <sheetFormatPr baseColWidth="10" defaultRowHeight="16" x14ac:dyDescent="0.2"/>
  <cols>
    <col min="2" max="2" width="54.1640625" bestFit="1" customWidth="1"/>
    <col min="3" max="3" width="20.33203125" bestFit="1" customWidth="1"/>
    <col min="4" max="5" width="7.6640625" bestFit="1" customWidth="1"/>
    <col min="6" max="6" width="10" bestFit="1" customWidth="1"/>
    <col min="7" max="7" width="7.6640625" bestFit="1" customWidth="1"/>
    <col min="8" max="8" width="26.1640625" bestFit="1" customWidth="1"/>
    <col min="9" max="9" width="8.5" bestFit="1" customWidth="1"/>
    <col min="10" max="13" width="7.6640625" bestFit="1" customWidth="1"/>
  </cols>
  <sheetData>
    <row r="2" spans="2:13" x14ac:dyDescent="0.2">
      <c r="B2" s="5" t="s">
        <v>4</v>
      </c>
      <c r="C2" s="1"/>
      <c r="D2" s="1"/>
      <c r="E2" s="1"/>
      <c r="F2" s="1"/>
      <c r="G2" s="1"/>
      <c r="H2" s="1"/>
      <c r="I2" s="1"/>
      <c r="J2" s="1"/>
      <c r="K2" s="1"/>
    </row>
    <row r="3" spans="2:13" x14ac:dyDescent="0.2">
      <c r="B3" s="1"/>
      <c r="C3" s="1"/>
      <c r="D3" s="1"/>
      <c r="E3" s="1"/>
      <c r="F3" s="1"/>
      <c r="G3" s="1"/>
      <c r="H3" s="1"/>
      <c r="I3" s="1"/>
      <c r="J3" s="1"/>
      <c r="K3" s="1"/>
    </row>
    <row r="4" spans="2:13" x14ac:dyDescent="0.2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</row>
    <row r="5" spans="2:13" x14ac:dyDescent="0.2">
      <c r="B5" s="2" t="b">
        <v>1</v>
      </c>
      <c r="C5" s="6" t="b">
        <v>1</v>
      </c>
      <c r="D5" s="1"/>
      <c r="E5" s="1"/>
      <c r="F5" s="1"/>
      <c r="G5" s="1"/>
      <c r="H5" s="1"/>
      <c r="I5" s="1"/>
      <c r="J5" s="1"/>
      <c r="K5" s="1"/>
    </row>
    <row r="6" spans="2:13" x14ac:dyDescent="0.2">
      <c r="B6" s="2" t="b">
        <v>0</v>
      </c>
      <c r="C6" s="6" t="b">
        <v>0</v>
      </c>
      <c r="D6" s="1"/>
      <c r="E6" s="1"/>
      <c r="F6" s="1"/>
      <c r="G6" s="1"/>
      <c r="H6" s="1"/>
      <c r="I6" s="1"/>
      <c r="J6" s="1"/>
      <c r="K6" s="1"/>
    </row>
    <row r="7" spans="2:13" x14ac:dyDescent="0.2">
      <c r="B7" s="2" t="s">
        <v>5</v>
      </c>
      <c r="C7" s="6">
        <v>1</v>
      </c>
      <c r="D7" s="1"/>
      <c r="E7" s="1"/>
      <c r="F7" s="1"/>
      <c r="G7" s="1"/>
      <c r="H7" s="1"/>
      <c r="I7" s="1"/>
      <c r="J7" s="1"/>
      <c r="K7" s="1"/>
    </row>
    <row r="8" spans="2:13" x14ac:dyDescent="0.2">
      <c r="B8" s="2" t="s">
        <v>6</v>
      </c>
      <c r="C8" s="6">
        <v>0</v>
      </c>
      <c r="D8" s="1"/>
      <c r="E8" s="1"/>
      <c r="F8" s="1"/>
      <c r="G8" s="1"/>
      <c r="H8" s="1"/>
      <c r="I8" s="1"/>
      <c r="J8" s="1"/>
      <c r="K8" s="1"/>
    </row>
    <row r="9" spans="2:13" x14ac:dyDescent="0.2">
      <c r="B9" s="2" t="s">
        <v>7</v>
      </c>
      <c r="C9" s="6">
        <v>-1</v>
      </c>
      <c r="D9" s="1"/>
      <c r="E9" s="1"/>
      <c r="F9" s="1"/>
      <c r="G9" s="1"/>
      <c r="H9" s="1"/>
      <c r="I9" s="1"/>
      <c r="J9" s="1"/>
      <c r="K9" s="1"/>
    </row>
    <row r="10" spans="2:13" x14ac:dyDescent="0.2">
      <c r="B10" s="2" t="s">
        <v>8</v>
      </c>
      <c r="C10" s="6">
        <v>42.5</v>
      </c>
      <c r="D10" s="1"/>
      <c r="E10" s="1"/>
      <c r="F10" s="1"/>
      <c r="G10" s="1"/>
      <c r="H10" s="1"/>
      <c r="I10" s="1"/>
      <c r="J10" s="1"/>
      <c r="K10" s="1"/>
    </row>
    <row r="11" spans="2:13" x14ac:dyDescent="0.2">
      <c r="B11" s="2" t="s">
        <v>9</v>
      </c>
      <c r="C11" s="6" t="s">
        <v>10</v>
      </c>
      <c r="D11" s="1"/>
      <c r="E11" s="1"/>
      <c r="F11" s="1"/>
      <c r="G11" s="1"/>
      <c r="H11" s="1"/>
      <c r="I11" s="1"/>
      <c r="J11" s="1"/>
      <c r="K11" s="1"/>
    </row>
    <row r="12" spans="2:13" x14ac:dyDescent="0.2">
      <c r="B12" s="2" t="s">
        <v>11</v>
      </c>
      <c r="C12" s="6"/>
      <c r="D12" s="1"/>
      <c r="E12" s="1"/>
      <c r="F12" s="1"/>
      <c r="G12" s="1"/>
      <c r="H12" s="1"/>
      <c r="I12" s="1"/>
      <c r="J12" s="1"/>
      <c r="K12" s="1"/>
    </row>
    <row r="13" spans="2:13" x14ac:dyDescent="0.2">
      <c r="B13" s="2" t="s">
        <v>12</v>
      </c>
      <c r="C13" s="6" t="e">
        <f>NA()</f>
        <v>#N/A</v>
      </c>
      <c r="D13" s="1"/>
      <c r="E13" s="1"/>
      <c r="F13" s="1"/>
      <c r="G13" s="1"/>
      <c r="H13" s="1"/>
      <c r="I13" s="1"/>
      <c r="J13" s="1"/>
      <c r="K13" s="1"/>
    </row>
    <row r="14" spans="2:13" x14ac:dyDescent="0.2">
      <c r="B14" s="2" t="s">
        <v>13</v>
      </c>
      <c r="C14" s="6" t="e">
        <f>VALUE("x")</f>
        <v>#VALUE!</v>
      </c>
      <c r="D14" s="1"/>
      <c r="E14" s="1"/>
      <c r="F14" s="1"/>
      <c r="G14" s="1"/>
      <c r="H14" s="1"/>
      <c r="I14" s="1"/>
      <c r="J14" s="1"/>
      <c r="K14" s="1"/>
    </row>
    <row r="15" spans="2:13" x14ac:dyDescent="0.2">
      <c r="B15" s="2" t="s">
        <v>14</v>
      </c>
      <c r="C15" s="6" t="e">
        <f>1/0</f>
        <v>#DIV/0!</v>
      </c>
      <c r="D15" s="1"/>
      <c r="E15" s="1"/>
      <c r="F15" s="1"/>
      <c r="G15" s="1"/>
      <c r="H15" s="1"/>
      <c r="I15" s="1"/>
      <c r="J15" s="1"/>
      <c r="K15" s="1"/>
    </row>
    <row r="16" spans="2:13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2:13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2:13" x14ac:dyDescent="0.2">
      <c r="B18" s="7" t="s">
        <v>15</v>
      </c>
      <c r="C18" s="3"/>
      <c r="D18" s="3"/>
      <c r="E18" s="3"/>
      <c r="F18" s="3"/>
      <c r="G18" s="3"/>
      <c r="H18" s="3"/>
      <c r="I18" s="3"/>
      <c r="J18" s="3"/>
      <c r="K18" s="3"/>
    </row>
    <row r="20" spans="2:13" x14ac:dyDescent="0.2">
      <c r="B20" s="8" t="s">
        <v>3</v>
      </c>
      <c r="C20" s="9" t="b">
        <v>1</v>
      </c>
      <c r="D20" s="9" t="b">
        <v>0</v>
      </c>
      <c r="E20" s="9">
        <v>1</v>
      </c>
      <c r="F20" s="9">
        <v>0</v>
      </c>
      <c r="G20" s="9">
        <v>-1</v>
      </c>
      <c r="H20" s="9">
        <v>42.5</v>
      </c>
      <c r="I20" s="9" t="s">
        <v>16</v>
      </c>
      <c r="J20" s="9" t="s">
        <v>17</v>
      </c>
      <c r="K20" s="9" t="e">
        <v>#N/A</v>
      </c>
      <c r="L20" s="9" t="e">
        <v>#VALUE!</v>
      </c>
      <c r="M20" s="9" t="e">
        <v>#DIV/0!</v>
      </c>
    </row>
    <row r="21" spans="2:13" x14ac:dyDescent="0.2">
      <c r="B21" s="4" t="b">
        <v>1</v>
      </c>
      <c r="C21" s="10" t="b">
        <f>AND($C$5,$C$5)</f>
        <v>1</v>
      </c>
      <c r="D21" s="10" t="b">
        <f>AND($C$5,$C$6)</f>
        <v>0</v>
      </c>
      <c r="E21" s="10" t="b">
        <f>AND($C$5,$C$7)</f>
        <v>1</v>
      </c>
      <c r="F21" s="10" t="b">
        <f>AND($C$5,$C$8)</f>
        <v>0</v>
      </c>
      <c r="G21" s="10" t="b">
        <f>AND($C$5,$C$9)</f>
        <v>1</v>
      </c>
      <c r="H21" s="10" t="b">
        <f>AND($C$5,$C$10)</f>
        <v>1</v>
      </c>
      <c r="I21" s="10" t="b">
        <f>AND($C$5,$C$11)</f>
        <v>1</v>
      </c>
      <c r="J21" s="10" t="b">
        <f>AND($C$5,$C$12)</f>
        <v>1</v>
      </c>
      <c r="K21" s="10" t="e">
        <f>AND($C$5,$C$13)</f>
        <v>#N/A</v>
      </c>
      <c r="L21" s="10" t="e">
        <f>AND($C$5,$C$14)</f>
        <v>#VALUE!</v>
      </c>
      <c r="M21" s="10" t="e">
        <f>AND($C$5,$C$15)</f>
        <v>#DIV/0!</v>
      </c>
    </row>
    <row r="22" spans="2:13" x14ac:dyDescent="0.2">
      <c r="B22" s="4" t="b">
        <v>0</v>
      </c>
      <c r="C22" s="10" t="b">
        <f>AND($C$6,$C$5)</f>
        <v>0</v>
      </c>
      <c r="D22" s="10" t="b">
        <f>AND($C$6,$C$6)</f>
        <v>0</v>
      </c>
      <c r="E22" s="10" t="b">
        <f>AND($C$6,$C$7)</f>
        <v>0</v>
      </c>
      <c r="F22" s="10" t="b">
        <f>AND($C$6,$C$8)</f>
        <v>0</v>
      </c>
      <c r="G22" s="10" t="b">
        <f>AND($C$6,$C$9)</f>
        <v>0</v>
      </c>
      <c r="H22" s="10" t="b">
        <f>AND($C$6,$C$10)</f>
        <v>0</v>
      </c>
      <c r="I22" s="10" t="b">
        <f>AND($C$6,$C$11)</f>
        <v>0</v>
      </c>
      <c r="J22" s="10" t="b">
        <f>AND($C$6,$C$12)</f>
        <v>0</v>
      </c>
      <c r="K22" s="10" t="e">
        <f>AND($C$6,$C$13)</f>
        <v>#N/A</v>
      </c>
      <c r="L22" s="10" t="e">
        <f>AND($C$6,$C$14)</f>
        <v>#VALUE!</v>
      </c>
      <c r="M22" s="10" t="e">
        <f>AND($C$6,$C$15)</f>
        <v>#DIV/0!</v>
      </c>
    </row>
    <row r="23" spans="2:13" x14ac:dyDescent="0.2">
      <c r="B23" s="4">
        <v>1</v>
      </c>
      <c r="C23" s="10" t="b">
        <f>AND($C$7,$C$5)</f>
        <v>1</v>
      </c>
      <c r="D23" s="10" t="b">
        <f>AND($C$7,$C$6)</f>
        <v>0</v>
      </c>
      <c r="E23" s="10" t="b">
        <f>AND($C$7,$C$7)</f>
        <v>1</v>
      </c>
      <c r="F23" s="10" t="b">
        <f>AND($C$7,$C$8)</f>
        <v>0</v>
      </c>
      <c r="G23" s="10" t="b">
        <f>AND($C$7,$C$9)</f>
        <v>1</v>
      </c>
      <c r="H23" s="10" t="b">
        <f>AND($C$7,$C$10)</f>
        <v>1</v>
      </c>
      <c r="I23" s="10" t="b">
        <f>AND($C$7,$C$11)</f>
        <v>1</v>
      </c>
      <c r="J23" s="10" t="b">
        <f>AND($C$7,$C$12)</f>
        <v>1</v>
      </c>
      <c r="K23" s="10" t="e">
        <f>AND($C$7,$C$13)</f>
        <v>#N/A</v>
      </c>
      <c r="L23" s="10" t="e">
        <f>AND($C$7,$C$14)</f>
        <v>#VALUE!</v>
      </c>
      <c r="M23" s="10" t="e">
        <f>AND($C$7,$C$15)</f>
        <v>#DIV/0!</v>
      </c>
    </row>
    <row r="24" spans="2:13" x14ac:dyDescent="0.2">
      <c r="B24" s="4">
        <v>0</v>
      </c>
      <c r="C24" s="10" t="b">
        <f>AND($C$8,$C$5)</f>
        <v>0</v>
      </c>
      <c r="D24" s="10" t="b">
        <f>AND($C$8,$C$6)</f>
        <v>0</v>
      </c>
      <c r="E24" s="10" t="b">
        <f>AND($C$8,$C$7)</f>
        <v>0</v>
      </c>
      <c r="F24" s="10" t="b">
        <f>AND($C$8,$C$8)</f>
        <v>0</v>
      </c>
      <c r="G24" s="10" t="b">
        <f>AND($C$8,$C$9)</f>
        <v>0</v>
      </c>
      <c r="H24" s="10" t="b">
        <f>AND($C$8,$C$10)</f>
        <v>0</v>
      </c>
      <c r="I24" s="10" t="b">
        <f>AND($C$8,$C$11)</f>
        <v>0</v>
      </c>
      <c r="J24" s="10" t="b">
        <f>AND($C$8,$C$12)</f>
        <v>0</v>
      </c>
      <c r="K24" s="10" t="e">
        <f>AND($C$8,$C$13)</f>
        <v>#N/A</v>
      </c>
      <c r="L24" s="10" t="e">
        <f>AND($C$8,$C$14)</f>
        <v>#VALUE!</v>
      </c>
      <c r="M24" s="10" t="e">
        <f>AND($C$8,$C$15)</f>
        <v>#DIV/0!</v>
      </c>
    </row>
    <row r="25" spans="2:13" x14ac:dyDescent="0.2">
      <c r="B25" s="4">
        <v>-1</v>
      </c>
      <c r="C25" s="10" t="b">
        <f>AND($C$9,$C$5)</f>
        <v>1</v>
      </c>
      <c r="D25" s="10" t="b">
        <f>AND($C$9,$C$6)</f>
        <v>0</v>
      </c>
      <c r="E25" s="10" t="b">
        <f>AND($C$9,$C$7)</f>
        <v>1</v>
      </c>
      <c r="F25" s="10" t="b">
        <f>AND($C$9,$C$8)</f>
        <v>0</v>
      </c>
      <c r="G25" s="10" t="b">
        <f>AND($C$9,$C$9)</f>
        <v>1</v>
      </c>
      <c r="H25" s="10" t="b">
        <f>AND($C$9,$C$10)</f>
        <v>1</v>
      </c>
      <c r="I25" s="10" t="b">
        <f>AND($C$9,$C$11)</f>
        <v>1</v>
      </c>
      <c r="J25" s="10" t="b">
        <f>AND($C$9,$C$12)</f>
        <v>1</v>
      </c>
      <c r="K25" s="10" t="e">
        <f>AND($C$9,$C$13)</f>
        <v>#N/A</v>
      </c>
      <c r="L25" s="10" t="e">
        <f>AND($C$9,$C$14)</f>
        <v>#VALUE!</v>
      </c>
      <c r="M25" s="10" t="e">
        <f>AND($C$9,$C$15)</f>
        <v>#DIV/0!</v>
      </c>
    </row>
    <row r="26" spans="2:13" x14ac:dyDescent="0.2">
      <c r="B26" s="4">
        <v>42.5</v>
      </c>
      <c r="C26" s="10" t="b">
        <f>AND($C$10,$C$5)</f>
        <v>1</v>
      </c>
      <c r="D26" s="10" t="b">
        <f>AND($C$10,$C$6)</f>
        <v>0</v>
      </c>
      <c r="E26" s="10" t="b">
        <f>AND($C$10,$C$7)</f>
        <v>1</v>
      </c>
      <c r="F26" s="10" t="b">
        <f>AND($C$10,$C$8)</f>
        <v>0</v>
      </c>
      <c r="G26" s="10" t="b">
        <f>AND($C$10,$C$9)</f>
        <v>1</v>
      </c>
      <c r="H26" s="10" t="b">
        <f>AND($C$10,$C$10)</f>
        <v>1</v>
      </c>
      <c r="I26" s="10" t="b">
        <f>AND($C$10,$C$11)</f>
        <v>1</v>
      </c>
      <c r="J26" s="10" t="b">
        <f>AND($C$10,$C$12)</f>
        <v>1</v>
      </c>
      <c r="K26" s="10" t="e">
        <f>AND($C$10,$C$13)</f>
        <v>#N/A</v>
      </c>
      <c r="L26" s="10" t="e">
        <f>AND($C$10,$C$14)</f>
        <v>#VALUE!</v>
      </c>
      <c r="M26" s="10" t="e">
        <f>AND($C$10,$C$15)</f>
        <v>#DIV/0!</v>
      </c>
    </row>
    <row r="27" spans="2:13" x14ac:dyDescent="0.2">
      <c r="B27" s="4" t="s">
        <v>16</v>
      </c>
      <c r="C27" s="10" t="b">
        <f>AND($C$11,$C$5)</f>
        <v>1</v>
      </c>
      <c r="D27" s="10" t="b">
        <f>AND($C$11,$C$6)</f>
        <v>0</v>
      </c>
      <c r="E27" s="10" t="b">
        <f>AND($C$11,$C$7)</f>
        <v>1</v>
      </c>
      <c r="F27" s="10" t="b">
        <f>AND($C$11,$C$8)</f>
        <v>0</v>
      </c>
      <c r="G27" s="10" t="b">
        <f>AND($C$11,$C$9)</f>
        <v>1</v>
      </c>
      <c r="H27" s="10" t="b">
        <f>AND($C$11,$C$10)</f>
        <v>1</v>
      </c>
      <c r="I27" s="10" t="e">
        <f>AND($C$11,$C$11)</f>
        <v>#VALUE!</v>
      </c>
      <c r="J27" s="10" t="e">
        <f>AND($C$11,$C$12)</f>
        <v>#VALUE!</v>
      </c>
      <c r="K27" s="10" t="e">
        <f>AND($C$11,$C$13)</f>
        <v>#N/A</v>
      </c>
      <c r="L27" s="10" t="e">
        <f>AND($C$11,$C$14)</f>
        <v>#VALUE!</v>
      </c>
      <c r="M27" s="10" t="e">
        <f>AND($C$11,$C$15)</f>
        <v>#DIV/0!</v>
      </c>
    </row>
    <row r="28" spans="2:13" x14ac:dyDescent="0.2">
      <c r="B28" s="4" t="s">
        <v>17</v>
      </c>
      <c r="C28" s="10" t="b">
        <f>AND($C$12,$C$5)</f>
        <v>1</v>
      </c>
      <c r="D28" s="10" t="b">
        <f>AND($C$12,$C$6)</f>
        <v>0</v>
      </c>
      <c r="E28" s="10" t="b">
        <f>AND($C$12,$C$7)</f>
        <v>1</v>
      </c>
      <c r="F28" s="10" t="b">
        <f>AND($C$12,$C$8)</f>
        <v>0</v>
      </c>
      <c r="G28" s="10" t="b">
        <f>AND($C$12,$C$9)</f>
        <v>1</v>
      </c>
      <c r="H28" s="10" t="b">
        <f>AND($C$12,$C$10)</f>
        <v>1</v>
      </c>
      <c r="I28" s="10" t="e">
        <f>AND($C$12,$C$11)</f>
        <v>#VALUE!</v>
      </c>
      <c r="J28" s="10" t="e">
        <f>AND($C$12,$C$12)</f>
        <v>#VALUE!</v>
      </c>
      <c r="K28" s="10" t="e">
        <f>AND($C$12,$C$13)</f>
        <v>#N/A</v>
      </c>
      <c r="L28" s="10" t="e">
        <f>AND($C$12,$C$14)</f>
        <v>#VALUE!</v>
      </c>
      <c r="M28" s="10" t="e">
        <f>AND($C$12,$C$15)</f>
        <v>#DIV/0!</v>
      </c>
    </row>
    <row r="29" spans="2:13" x14ac:dyDescent="0.2">
      <c r="B29" s="4" t="e">
        <v>#N/A</v>
      </c>
      <c r="C29" s="10" t="e">
        <f>AND($C$13,$C$5)</f>
        <v>#N/A</v>
      </c>
      <c r="D29" s="10" t="e">
        <f>AND($C$13,$C$6)</f>
        <v>#N/A</v>
      </c>
      <c r="E29" s="10" t="e">
        <f>AND($C$13,$C$7)</f>
        <v>#N/A</v>
      </c>
      <c r="F29" s="10" t="e">
        <f>AND($C$13,$C$8)</f>
        <v>#N/A</v>
      </c>
      <c r="G29" s="10" t="e">
        <f>AND($C$13,$C$9)</f>
        <v>#N/A</v>
      </c>
      <c r="H29" s="10" t="e">
        <f>AND($C$13,$C$10)</f>
        <v>#N/A</v>
      </c>
      <c r="I29" s="10" t="e">
        <f>AND($C$13,$C$11)</f>
        <v>#N/A</v>
      </c>
      <c r="J29" s="10" t="e">
        <f>AND($C$13,$C$12)</f>
        <v>#N/A</v>
      </c>
      <c r="K29" s="10" t="e">
        <f>AND($C$13,$C$13)</f>
        <v>#N/A</v>
      </c>
      <c r="L29" s="10" t="e">
        <f>AND($C$13,$C$14)</f>
        <v>#N/A</v>
      </c>
      <c r="M29" s="10" t="e">
        <f>AND($C$13,$C$15)</f>
        <v>#N/A</v>
      </c>
    </row>
    <row r="30" spans="2:13" x14ac:dyDescent="0.2">
      <c r="B30" s="4" t="e">
        <v>#VALUE!</v>
      </c>
      <c r="C30" s="10" t="e">
        <f>AND($C$14,$C$5)</f>
        <v>#VALUE!</v>
      </c>
      <c r="D30" s="10" t="e">
        <f>AND($C$14,$C$6)</f>
        <v>#VALUE!</v>
      </c>
      <c r="E30" s="10" t="e">
        <f>AND($C$14,$C$7)</f>
        <v>#VALUE!</v>
      </c>
      <c r="F30" s="10" t="e">
        <f>AND($C$14,$C$8)</f>
        <v>#VALUE!</v>
      </c>
      <c r="G30" s="10" t="e">
        <f>AND($C$14,$C$9)</f>
        <v>#VALUE!</v>
      </c>
      <c r="H30" s="10" t="e">
        <f>AND($C$14,$C$10)</f>
        <v>#VALUE!</v>
      </c>
      <c r="I30" s="10" t="e">
        <f>AND($C$14,$C$11)</f>
        <v>#VALUE!</v>
      </c>
      <c r="J30" s="10" t="e">
        <f>AND($C$14,$C$12)</f>
        <v>#VALUE!</v>
      </c>
      <c r="K30" s="10" t="e">
        <f>AND($C$14,$C$13)</f>
        <v>#VALUE!</v>
      </c>
      <c r="L30" s="10" t="e">
        <f>AND($C$14,$C$14)</f>
        <v>#VALUE!</v>
      </c>
      <c r="M30" s="10" t="e">
        <f>AND($C$14,$C$15)</f>
        <v>#VALUE!</v>
      </c>
    </row>
    <row r="31" spans="2:13" x14ac:dyDescent="0.2">
      <c r="B31" s="4" t="e">
        <v>#DIV/0!</v>
      </c>
      <c r="C31" s="10" t="e">
        <f>AND($C$15,$C$5)</f>
        <v>#DIV/0!</v>
      </c>
      <c r="D31" s="10" t="e">
        <f>AND($C$15,$C$6)</f>
        <v>#DIV/0!</v>
      </c>
      <c r="E31" s="10" t="e">
        <f>AND($C$15,$C$7)</f>
        <v>#DIV/0!</v>
      </c>
      <c r="F31" s="10" t="e">
        <f>AND($C$15,$C$8)</f>
        <v>#DIV/0!</v>
      </c>
      <c r="G31" s="10" t="e">
        <f>AND($C$15,$C$9)</f>
        <v>#DIV/0!</v>
      </c>
      <c r="H31" s="10" t="e">
        <f>AND($C$15,$C$10)</f>
        <v>#DIV/0!</v>
      </c>
      <c r="I31" s="10" t="e">
        <f>AND($C$15,$C$11)</f>
        <v>#DIV/0!</v>
      </c>
      <c r="J31" s="10" t="e">
        <f>AND($C$15,$C$12)</f>
        <v>#DIV/0!</v>
      </c>
      <c r="K31" s="10" t="e">
        <f>AND($C$15,$C$13)</f>
        <v>#DIV/0!</v>
      </c>
      <c r="L31" s="10" t="e">
        <f>AND($C$15,$C$14)</f>
        <v>#DIV/0!</v>
      </c>
      <c r="M31" s="10" t="e">
        <f>AND($C$15,$C$15)</f>
        <v>#DIV/0!</v>
      </c>
    </row>
    <row r="34" spans="2:13" x14ac:dyDescent="0.2">
      <c r="B34" s="3" t="s">
        <v>18</v>
      </c>
      <c r="C34" s="3"/>
      <c r="D34" s="3"/>
      <c r="E34" s="3"/>
      <c r="F34" s="3"/>
      <c r="G34" s="3"/>
      <c r="H34" s="3"/>
      <c r="I34" s="3"/>
      <c r="J34" s="3"/>
      <c r="K34" s="3"/>
    </row>
    <row r="36" spans="2:13" x14ac:dyDescent="0.2">
      <c r="B36" s="8" t="s">
        <v>3</v>
      </c>
      <c r="C36" s="9" t="b">
        <v>1</v>
      </c>
      <c r="D36" s="9" t="b">
        <v>0</v>
      </c>
      <c r="E36" s="9">
        <v>1</v>
      </c>
      <c r="F36" s="9">
        <v>0</v>
      </c>
      <c r="G36" s="9">
        <v>-1</v>
      </c>
      <c r="H36" s="9">
        <v>42.5</v>
      </c>
      <c r="I36" s="9" t="s">
        <v>16</v>
      </c>
      <c r="J36" s="9" t="s">
        <v>17</v>
      </c>
      <c r="K36" s="9" t="e">
        <v>#N/A</v>
      </c>
      <c r="L36" s="9" t="e">
        <v>#VALUE!</v>
      </c>
      <c r="M36" s="9" t="e">
        <v>#DIV/0!</v>
      </c>
    </row>
    <row r="37" spans="2:13" x14ac:dyDescent="0.2">
      <c r="B37" s="4" t="b">
        <v>1</v>
      </c>
      <c r="C37" s="10" t="b">
        <f>OR($C$5,$C$5)</f>
        <v>1</v>
      </c>
      <c r="D37" s="10" t="b">
        <f>OR($C$5,$C$6)</f>
        <v>1</v>
      </c>
      <c r="E37" s="10" t="b">
        <f>OR($C$5,$C$7)</f>
        <v>1</v>
      </c>
      <c r="F37" s="10" t="b">
        <f>OR($C$5,$C$8)</f>
        <v>1</v>
      </c>
      <c r="G37" s="10" t="b">
        <f>OR($C$5,$C$9)</f>
        <v>1</v>
      </c>
      <c r="H37" s="10" t="b">
        <f>OR($C$5,$C$10)</f>
        <v>1</v>
      </c>
      <c r="I37" s="10" t="b">
        <f>OR($C$5,$C$11)</f>
        <v>1</v>
      </c>
      <c r="J37" s="10" t="b">
        <f>OR($C$5,$C$12)</f>
        <v>1</v>
      </c>
      <c r="K37" s="10" t="e">
        <f>OR($C$5,$C$13)</f>
        <v>#N/A</v>
      </c>
      <c r="L37" s="10" t="e">
        <f>OR($C$5,$C$14)</f>
        <v>#VALUE!</v>
      </c>
      <c r="M37" s="10" t="e">
        <f>OR($C$5,$C$15)</f>
        <v>#DIV/0!</v>
      </c>
    </row>
    <row r="38" spans="2:13" x14ac:dyDescent="0.2">
      <c r="B38" s="4" t="b">
        <v>0</v>
      </c>
      <c r="C38" s="10" t="b">
        <f>OR($C$6,$C$5)</f>
        <v>1</v>
      </c>
      <c r="D38" s="10" t="b">
        <f>OR($C$6,$C$6)</f>
        <v>0</v>
      </c>
      <c r="E38" s="10" t="b">
        <f>OR($C$6,$C$7)</f>
        <v>1</v>
      </c>
      <c r="F38" s="10" t="b">
        <f>OR($C$6,$C$8)</f>
        <v>0</v>
      </c>
      <c r="G38" s="10" t="b">
        <f>OR($C$6,$C$9)</f>
        <v>1</v>
      </c>
      <c r="H38" s="10" t="b">
        <f>OR($C$6,$C$10)</f>
        <v>1</v>
      </c>
      <c r="I38" s="10" t="b">
        <f>OR($C$6,$C$11)</f>
        <v>0</v>
      </c>
      <c r="J38" s="10" t="b">
        <f>OR($C$6,$C$12)</f>
        <v>0</v>
      </c>
      <c r="K38" s="10" t="e">
        <f>OR($C$6,$C$13)</f>
        <v>#N/A</v>
      </c>
      <c r="L38" s="10" t="e">
        <f>OR($C$6,$C$14)</f>
        <v>#VALUE!</v>
      </c>
      <c r="M38" s="10" t="e">
        <f>OR($C$6,$C$15)</f>
        <v>#DIV/0!</v>
      </c>
    </row>
    <row r="39" spans="2:13" x14ac:dyDescent="0.2">
      <c r="B39" s="4">
        <v>1</v>
      </c>
      <c r="C39" s="10" t="b">
        <f>OR($C$7,$C$5)</f>
        <v>1</v>
      </c>
      <c r="D39" s="10" t="b">
        <f>OR($C$7,$C$6)</f>
        <v>1</v>
      </c>
      <c r="E39" s="10" t="b">
        <f>OR($C$7,$C$7)</f>
        <v>1</v>
      </c>
      <c r="F39" s="10" t="b">
        <f>OR($C$7,$C$8)</f>
        <v>1</v>
      </c>
      <c r="G39" s="10" t="b">
        <f>OR($C$7,$C$9)</f>
        <v>1</v>
      </c>
      <c r="H39" s="10" t="b">
        <f>OR($C$7,$C$10)</f>
        <v>1</v>
      </c>
      <c r="I39" s="10" t="b">
        <f>OR($C$7,$C$11)</f>
        <v>1</v>
      </c>
      <c r="J39" s="10" t="b">
        <f>OR($C$7,$C$12)</f>
        <v>1</v>
      </c>
      <c r="K39" s="10" t="e">
        <f>OR($C$7,$C$13)</f>
        <v>#N/A</v>
      </c>
      <c r="L39" s="10" t="e">
        <f>OR($C$7,$C$14)</f>
        <v>#VALUE!</v>
      </c>
      <c r="M39" s="10" t="e">
        <f>OR($C$7,$C$15)</f>
        <v>#DIV/0!</v>
      </c>
    </row>
    <row r="40" spans="2:13" x14ac:dyDescent="0.2">
      <c r="B40" s="4">
        <v>0</v>
      </c>
      <c r="C40" s="10" t="b">
        <f>OR($C$8,$C$5)</f>
        <v>1</v>
      </c>
      <c r="D40" s="10" t="b">
        <f>OR($C$8,$C$6)</f>
        <v>0</v>
      </c>
      <c r="E40" s="10" t="b">
        <f>OR($C$8,$C$7)</f>
        <v>1</v>
      </c>
      <c r="F40" s="10" t="b">
        <f>OR($C$8,$C$8)</f>
        <v>0</v>
      </c>
      <c r="G40" s="10" t="b">
        <f>OR($C$8,$C$9)</f>
        <v>1</v>
      </c>
      <c r="H40" s="10" t="b">
        <f>OR($C$8,$C$10)</f>
        <v>1</v>
      </c>
      <c r="I40" s="10" t="b">
        <f>OR($C$8,$C$11)</f>
        <v>0</v>
      </c>
      <c r="J40" s="10" t="b">
        <f>OR($C$8,$C$12)</f>
        <v>0</v>
      </c>
      <c r="K40" s="10" t="e">
        <f>OR($C$8,$C$13)</f>
        <v>#N/A</v>
      </c>
      <c r="L40" s="10" t="e">
        <f>OR($C$8,$C$14)</f>
        <v>#VALUE!</v>
      </c>
      <c r="M40" s="10" t="e">
        <f>OR($C$8,$C$15)</f>
        <v>#DIV/0!</v>
      </c>
    </row>
    <row r="41" spans="2:13" x14ac:dyDescent="0.2">
      <c r="B41" s="4">
        <v>-1</v>
      </c>
      <c r="C41" s="10" t="b">
        <f>OR($C$9,$C$5)</f>
        <v>1</v>
      </c>
      <c r="D41" s="10" t="b">
        <f>OR($C$9,$C$6)</f>
        <v>1</v>
      </c>
      <c r="E41" s="10" t="b">
        <f>OR($C$9,$C$7)</f>
        <v>1</v>
      </c>
      <c r="F41" s="10" t="b">
        <f>OR($C$9,$C$8)</f>
        <v>1</v>
      </c>
      <c r="G41" s="10" t="b">
        <f>OR($C$9,$C$9)</f>
        <v>1</v>
      </c>
      <c r="H41" s="10" t="b">
        <f>OR($C$9,$C$10)</f>
        <v>1</v>
      </c>
      <c r="I41" s="10" t="b">
        <f>OR($C$9,$C$11)</f>
        <v>1</v>
      </c>
      <c r="J41" s="10" t="b">
        <f>OR($C$9,$C$12)</f>
        <v>1</v>
      </c>
      <c r="K41" s="10" t="e">
        <f>OR($C$9,$C$13)</f>
        <v>#N/A</v>
      </c>
      <c r="L41" s="10" t="e">
        <f>OR($C$9,$C$14)</f>
        <v>#VALUE!</v>
      </c>
      <c r="M41" s="10" t="e">
        <f>OR($C$9,$C$15)</f>
        <v>#DIV/0!</v>
      </c>
    </row>
    <row r="42" spans="2:13" x14ac:dyDescent="0.2">
      <c r="B42" s="4">
        <v>42.5</v>
      </c>
      <c r="C42" s="10" t="b">
        <f>OR($C$10,$C$5)</f>
        <v>1</v>
      </c>
      <c r="D42" s="10" t="b">
        <f>OR($C$10,$C$6)</f>
        <v>1</v>
      </c>
      <c r="E42" s="10" t="b">
        <f>OR($C$10,$C$7)</f>
        <v>1</v>
      </c>
      <c r="F42" s="10" t="b">
        <f>OR($C$10,$C$8)</f>
        <v>1</v>
      </c>
      <c r="G42" s="10" t="b">
        <f>OR($C$10,$C$9)</f>
        <v>1</v>
      </c>
      <c r="H42" s="10" t="b">
        <f>OR($C$10,$C$10)</f>
        <v>1</v>
      </c>
      <c r="I42" s="10" t="b">
        <f>OR($C$10,$C$11)</f>
        <v>1</v>
      </c>
      <c r="J42" s="10" t="b">
        <f>OR($C$10,$C$12)</f>
        <v>1</v>
      </c>
      <c r="K42" s="10" t="e">
        <f>OR($C$10,$C$13)</f>
        <v>#N/A</v>
      </c>
      <c r="L42" s="10" t="e">
        <f>OR($C$10,$C$14)</f>
        <v>#VALUE!</v>
      </c>
      <c r="M42" s="10" t="e">
        <f>OR($C$10,$C$15)</f>
        <v>#DIV/0!</v>
      </c>
    </row>
    <row r="43" spans="2:13" x14ac:dyDescent="0.2">
      <c r="B43" s="4" t="s">
        <v>16</v>
      </c>
      <c r="C43" s="10" t="b">
        <f>OR($C$11,$C$5)</f>
        <v>1</v>
      </c>
      <c r="D43" s="10" t="b">
        <f>OR($C$11,$C$6)</f>
        <v>0</v>
      </c>
      <c r="E43" s="10" t="b">
        <f>OR($C$11,$C$7)</f>
        <v>1</v>
      </c>
      <c r="F43" s="10" t="b">
        <f>OR($C$11,$C$8)</f>
        <v>0</v>
      </c>
      <c r="G43" s="10" t="b">
        <f>OR($C$11,$C$9)</f>
        <v>1</v>
      </c>
      <c r="H43" s="10" t="b">
        <f>OR($C$11,$C$10)</f>
        <v>1</v>
      </c>
      <c r="I43" s="10" t="e">
        <f>OR($C$11,$C$11)</f>
        <v>#VALUE!</v>
      </c>
      <c r="J43" s="10" t="e">
        <f>OR($C$11,$C$12)</f>
        <v>#VALUE!</v>
      </c>
      <c r="K43" s="10" t="e">
        <f>OR($C$11,$C$13)</f>
        <v>#N/A</v>
      </c>
      <c r="L43" s="10" t="e">
        <f>OR($C$11,$C$14)</f>
        <v>#VALUE!</v>
      </c>
      <c r="M43" s="10" t="e">
        <f>OR($C$11,$C$15)</f>
        <v>#DIV/0!</v>
      </c>
    </row>
    <row r="44" spans="2:13" x14ac:dyDescent="0.2">
      <c r="B44" s="4" t="s">
        <v>17</v>
      </c>
      <c r="C44" s="10" t="b">
        <f>OR($C$12,$C$5)</f>
        <v>1</v>
      </c>
      <c r="D44" s="10" t="b">
        <f>OR($C$12,$C$6)</f>
        <v>0</v>
      </c>
      <c r="E44" s="10" t="b">
        <f>OR($C$12,$C$7)</f>
        <v>1</v>
      </c>
      <c r="F44" s="10" t="b">
        <f>OR($C$12,$C$8)</f>
        <v>0</v>
      </c>
      <c r="G44" s="10" t="b">
        <f>OR($C$12,$C$9)</f>
        <v>1</v>
      </c>
      <c r="H44" s="10" t="b">
        <f>OR($C$12,$C$10)</f>
        <v>1</v>
      </c>
      <c r="I44" s="10" t="e">
        <f>OR($C$12,$C$11)</f>
        <v>#VALUE!</v>
      </c>
      <c r="J44" s="10" t="e">
        <f>OR($C$12,$C$12)</f>
        <v>#VALUE!</v>
      </c>
      <c r="K44" s="10" t="e">
        <f>OR($C$12,$C$13)</f>
        <v>#N/A</v>
      </c>
      <c r="L44" s="10" t="e">
        <f>OR($C$12,$C$14)</f>
        <v>#VALUE!</v>
      </c>
      <c r="M44" s="10" t="e">
        <f>OR($C$12,$C$15)</f>
        <v>#DIV/0!</v>
      </c>
    </row>
    <row r="45" spans="2:13" x14ac:dyDescent="0.2">
      <c r="B45" s="4" t="e">
        <v>#N/A</v>
      </c>
      <c r="C45" s="10" t="e">
        <f>OR($C$13,$C$5)</f>
        <v>#N/A</v>
      </c>
      <c r="D45" s="10" t="e">
        <f>OR($C$13,$C$6)</f>
        <v>#N/A</v>
      </c>
      <c r="E45" s="10" t="e">
        <f>OR($C$13,$C$7)</f>
        <v>#N/A</v>
      </c>
      <c r="F45" s="10" t="e">
        <f>OR($C$13,$C$8)</f>
        <v>#N/A</v>
      </c>
      <c r="G45" s="10" t="e">
        <f>OR($C$13,$C$9)</f>
        <v>#N/A</v>
      </c>
      <c r="H45" s="10" t="e">
        <f>OR($C$13,$C$10)</f>
        <v>#N/A</v>
      </c>
      <c r="I45" s="10" t="e">
        <f>OR($C$13,$C$11)</f>
        <v>#N/A</v>
      </c>
      <c r="J45" s="10" t="e">
        <f>OR($C$13,$C$12)</f>
        <v>#N/A</v>
      </c>
      <c r="K45" s="10" t="e">
        <f>OR($C$13,$C$13)</f>
        <v>#N/A</v>
      </c>
      <c r="L45" s="10" t="e">
        <f>OR($C$13,$C$14)</f>
        <v>#N/A</v>
      </c>
      <c r="M45" s="10" t="e">
        <f>OR($C$13,$C$15)</f>
        <v>#N/A</v>
      </c>
    </row>
    <row r="46" spans="2:13" x14ac:dyDescent="0.2">
      <c r="B46" s="4" t="e">
        <v>#VALUE!</v>
      </c>
      <c r="C46" s="10" t="e">
        <f>OR($C$14,$C$5)</f>
        <v>#VALUE!</v>
      </c>
      <c r="D46" s="10" t="e">
        <f>OR($C$14,$C$6)</f>
        <v>#VALUE!</v>
      </c>
      <c r="E46" s="10" t="e">
        <f>OR($C$14,$C$7)</f>
        <v>#VALUE!</v>
      </c>
      <c r="F46" s="10" t="e">
        <f>OR($C$14,$C$8)</f>
        <v>#VALUE!</v>
      </c>
      <c r="G46" s="10" t="e">
        <f>OR($C$14,$C$9)</f>
        <v>#VALUE!</v>
      </c>
      <c r="H46" s="10" t="e">
        <f>OR($C$14,$C$10)</f>
        <v>#VALUE!</v>
      </c>
      <c r="I46" s="10" t="e">
        <f>OR($C$14,$C$11)</f>
        <v>#VALUE!</v>
      </c>
      <c r="J46" s="10" t="e">
        <f>OR($C$14,$C$12)</f>
        <v>#VALUE!</v>
      </c>
      <c r="K46" s="10" t="e">
        <f>OR($C$14,$C$13)</f>
        <v>#VALUE!</v>
      </c>
      <c r="L46" s="10" t="e">
        <f>OR($C$14,$C$14)</f>
        <v>#VALUE!</v>
      </c>
      <c r="M46" s="10" t="e">
        <f>OR($C$14,$C$15)</f>
        <v>#VALUE!</v>
      </c>
    </row>
    <row r="47" spans="2:13" x14ac:dyDescent="0.2">
      <c r="B47" s="4" t="e">
        <v>#DIV/0!</v>
      </c>
      <c r="C47" s="10" t="e">
        <f>OR($C$15,$C$5)</f>
        <v>#DIV/0!</v>
      </c>
      <c r="D47" s="10" t="e">
        <f>OR($C$15,$C$6)</f>
        <v>#DIV/0!</v>
      </c>
      <c r="E47" s="10" t="e">
        <f>OR($C$15,$C$7)</f>
        <v>#DIV/0!</v>
      </c>
      <c r="F47" s="10" t="e">
        <f>OR($C$15,$C$8)</f>
        <v>#DIV/0!</v>
      </c>
      <c r="G47" s="10" t="e">
        <f>OR($C$15,$C$9)</f>
        <v>#DIV/0!</v>
      </c>
      <c r="H47" s="10" t="e">
        <f>OR($C$15,$C$10)</f>
        <v>#DIV/0!</v>
      </c>
      <c r="I47" s="10" t="e">
        <f>OR($C$15,$C$11)</f>
        <v>#DIV/0!</v>
      </c>
      <c r="J47" s="10" t="e">
        <f>OR($C$15,$C$12)</f>
        <v>#DIV/0!</v>
      </c>
      <c r="K47" s="10" t="e">
        <f>OR($C$15,$C$13)</f>
        <v>#DIV/0!</v>
      </c>
      <c r="L47" s="10" t="e">
        <f>OR($C$15,$C$14)</f>
        <v>#DIV/0!</v>
      </c>
      <c r="M47" s="10" t="e">
        <f>OR($C$15,$C$15)</f>
        <v>#DIV/0!</v>
      </c>
    </row>
    <row r="50" spans="2:13" x14ac:dyDescent="0.2">
      <c r="B50" s="3" t="s">
        <v>19</v>
      </c>
      <c r="C50" s="3"/>
      <c r="D50" s="3"/>
      <c r="E50" s="3"/>
      <c r="F50" s="3"/>
      <c r="G50" s="3"/>
      <c r="H50" s="3"/>
      <c r="I50" s="3"/>
      <c r="J50" s="3"/>
      <c r="K50" s="3"/>
    </row>
    <row r="52" spans="2:13" x14ac:dyDescent="0.2">
      <c r="B52" s="8" t="s">
        <v>3</v>
      </c>
      <c r="C52" s="9" t="b">
        <v>1</v>
      </c>
      <c r="D52" s="9" t="b">
        <v>0</v>
      </c>
      <c r="E52" s="9">
        <v>1</v>
      </c>
      <c r="F52" s="9">
        <v>0</v>
      </c>
      <c r="G52" s="9">
        <v>-1</v>
      </c>
      <c r="H52" s="9">
        <v>42.5</v>
      </c>
      <c r="I52" s="9" t="s">
        <v>16</v>
      </c>
      <c r="J52" s="9" t="s">
        <v>17</v>
      </c>
      <c r="K52" s="9" t="e">
        <v>#N/A</v>
      </c>
      <c r="L52" s="9" t="e">
        <v>#VALUE!</v>
      </c>
      <c r="M52" s="9" t="e">
        <v>#DIV/0!</v>
      </c>
    </row>
    <row r="53" spans="2:13" x14ac:dyDescent="0.2">
      <c r="B53" s="4" t="b">
        <v>1</v>
      </c>
      <c r="C53" s="10" t="b">
        <f>_xlfn.XOR($C$5,$C$5)</f>
        <v>0</v>
      </c>
      <c r="D53" s="10" t="b">
        <f>_xlfn.XOR($C$5,$C$6)</f>
        <v>1</v>
      </c>
      <c r="E53" s="10" t="b">
        <f>_xlfn.XOR($C$5,$C$7)</f>
        <v>0</v>
      </c>
      <c r="F53" s="10" t="b">
        <f>_xlfn.XOR($C$5,$C$8)</f>
        <v>1</v>
      </c>
      <c r="G53" s="10" t="b">
        <f>_xlfn.XOR($C$5,$C$9)</f>
        <v>0</v>
      </c>
      <c r="H53" s="10" t="b">
        <f>_xlfn.XOR($C$5,$C$10)</f>
        <v>0</v>
      </c>
      <c r="I53" s="10" t="b">
        <f>_xlfn.XOR($C$5,$C$11)</f>
        <v>1</v>
      </c>
      <c r="J53" s="10" t="b">
        <f>_xlfn.XOR($C$5,$C$12)</f>
        <v>1</v>
      </c>
      <c r="K53" s="10" t="e">
        <f>_xlfn.XOR($C$5,$C$13)</f>
        <v>#N/A</v>
      </c>
      <c r="L53" s="10" t="e">
        <f>_xlfn.XOR($C$5,$C$14)</f>
        <v>#VALUE!</v>
      </c>
      <c r="M53" s="10" t="e">
        <f>_xlfn.XOR($C$5,$C$15)</f>
        <v>#DIV/0!</v>
      </c>
    </row>
    <row r="54" spans="2:13" x14ac:dyDescent="0.2">
      <c r="B54" s="4" t="b">
        <v>0</v>
      </c>
      <c r="C54" s="10" t="b">
        <f>_xlfn.XOR($C$6,$C$5)</f>
        <v>1</v>
      </c>
      <c r="D54" s="10" t="b">
        <f>_xlfn.XOR($C$6,$C$6)</f>
        <v>0</v>
      </c>
      <c r="E54" s="10" t="b">
        <f>_xlfn.XOR($C$6,$C$7)</f>
        <v>1</v>
      </c>
      <c r="F54" s="10" t="b">
        <f>_xlfn.XOR($C$6,$C$8)</f>
        <v>0</v>
      </c>
      <c r="G54" s="10" t="b">
        <f>_xlfn.XOR($C$6,$C$9)</f>
        <v>1</v>
      </c>
      <c r="H54" s="10" t="b">
        <f>_xlfn.XOR($C$6,$C$10)</f>
        <v>1</v>
      </c>
      <c r="I54" s="10" t="b">
        <f>_xlfn.XOR($C$6,$C$11)</f>
        <v>0</v>
      </c>
      <c r="J54" s="10" t="b">
        <f>_xlfn.XOR($C$6,$C$12)</f>
        <v>0</v>
      </c>
      <c r="K54" s="10" t="e">
        <f>_xlfn.XOR($C$6,$C$13)</f>
        <v>#N/A</v>
      </c>
      <c r="L54" s="10" t="e">
        <f>_xlfn.XOR($C$6,$C$14)</f>
        <v>#VALUE!</v>
      </c>
      <c r="M54" s="10" t="e">
        <f>_xlfn.XOR($C$6,$C$15)</f>
        <v>#DIV/0!</v>
      </c>
    </row>
    <row r="55" spans="2:13" x14ac:dyDescent="0.2">
      <c r="B55" s="4">
        <v>1</v>
      </c>
      <c r="C55" s="10" t="b">
        <f>_xlfn.XOR($C$7,$C$5)</f>
        <v>0</v>
      </c>
      <c r="D55" s="10" t="b">
        <f>_xlfn.XOR($C$7,$C$6)</f>
        <v>1</v>
      </c>
      <c r="E55" s="10" t="b">
        <f>_xlfn.XOR($C$7,$C$7)</f>
        <v>0</v>
      </c>
      <c r="F55" s="10" t="b">
        <f>_xlfn.XOR($C$7,$C$8)</f>
        <v>1</v>
      </c>
      <c r="G55" s="10" t="b">
        <f>_xlfn.XOR($C$7,$C$9)</f>
        <v>0</v>
      </c>
      <c r="H55" s="10" t="b">
        <f>_xlfn.XOR($C$7,$C$10)</f>
        <v>0</v>
      </c>
      <c r="I55" s="10" t="b">
        <f>_xlfn.XOR($C$7,$C$11)</f>
        <v>1</v>
      </c>
      <c r="J55" s="10" t="b">
        <f>_xlfn.XOR($C$7,$C$12)</f>
        <v>1</v>
      </c>
      <c r="K55" s="10" t="e">
        <f>_xlfn.XOR($C$7,$C$13)</f>
        <v>#N/A</v>
      </c>
      <c r="L55" s="10" t="e">
        <f>_xlfn.XOR($C$7,$C$14)</f>
        <v>#VALUE!</v>
      </c>
      <c r="M55" s="10" t="e">
        <f>_xlfn.XOR($C$7,$C$15)</f>
        <v>#DIV/0!</v>
      </c>
    </row>
    <row r="56" spans="2:13" x14ac:dyDescent="0.2">
      <c r="B56" s="4">
        <v>0</v>
      </c>
      <c r="C56" s="10" t="b">
        <f>_xlfn.XOR($C$8,$C$5)</f>
        <v>1</v>
      </c>
      <c r="D56" s="10" t="b">
        <f>_xlfn.XOR($C$8,$C$6)</f>
        <v>0</v>
      </c>
      <c r="E56" s="10" t="b">
        <f>_xlfn.XOR($C$8,$C$7)</f>
        <v>1</v>
      </c>
      <c r="F56" s="10" t="b">
        <f>_xlfn.XOR($C$8,$C$8)</f>
        <v>0</v>
      </c>
      <c r="G56" s="10" t="b">
        <f>_xlfn.XOR($C$8,$C$9)</f>
        <v>1</v>
      </c>
      <c r="H56" s="10" t="b">
        <f>_xlfn.XOR($C$8,$C$10)</f>
        <v>1</v>
      </c>
      <c r="I56" s="10" t="b">
        <f>_xlfn.XOR($C$8,$C$11)</f>
        <v>0</v>
      </c>
      <c r="J56" s="10" t="b">
        <f>_xlfn.XOR($C$8,$C$12)</f>
        <v>0</v>
      </c>
      <c r="K56" s="10" t="e">
        <f>_xlfn.XOR($C$8,$C$13)</f>
        <v>#N/A</v>
      </c>
      <c r="L56" s="10" t="e">
        <f>_xlfn.XOR($C$8,$C$14)</f>
        <v>#VALUE!</v>
      </c>
      <c r="M56" s="10" t="e">
        <f>_xlfn.XOR($C$8,$C$15)</f>
        <v>#DIV/0!</v>
      </c>
    </row>
    <row r="57" spans="2:13" x14ac:dyDescent="0.2">
      <c r="B57" s="4">
        <v>-1</v>
      </c>
      <c r="C57" s="10" t="b">
        <f>_xlfn.XOR($C$9,$C$5)</f>
        <v>0</v>
      </c>
      <c r="D57" s="10" t="b">
        <f>_xlfn.XOR($C$9,$C$6)</f>
        <v>1</v>
      </c>
      <c r="E57" s="10" t="b">
        <f>_xlfn.XOR($C$9,$C$7)</f>
        <v>0</v>
      </c>
      <c r="F57" s="10" t="b">
        <f>_xlfn.XOR($C$9,$C$8)</f>
        <v>1</v>
      </c>
      <c r="G57" s="10" t="b">
        <f>_xlfn.XOR($C$9,$C$9)</f>
        <v>0</v>
      </c>
      <c r="H57" s="10" t="b">
        <f>_xlfn.XOR($C$9,$C$10)</f>
        <v>0</v>
      </c>
      <c r="I57" s="10" t="b">
        <f>_xlfn.XOR($C$9,$C$11)</f>
        <v>1</v>
      </c>
      <c r="J57" s="10" t="b">
        <f>_xlfn.XOR($C$9,$C$12)</f>
        <v>1</v>
      </c>
      <c r="K57" s="10" t="e">
        <f>_xlfn.XOR($C$9,$C$13)</f>
        <v>#N/A</v>
      </c>
      <c r="L57" s="10" t="e">
        <f>_xlfn.XOR($C$9,$C$14)</f>
        <v>#VALUE!</v>
      </c>
      <c r="M57" s="10" t="e">
        <f>_xlfn.XOR($C$9,$C$15)</f>
        <v>#DIV/0!</v>
      </c>
    </row>
    <row r="58" spans="2:13" x14ac:dyDescent="0.2">
      <c r="B58" s="4">
        <v>42.5</v>
      </c>
      <c r="C58" s="10" t="b">
        <f>_xlfn.XOR($C$10,$C$5)</f>
        <v>0</v>
      </c>
      <c r="D58" s="10" t="b">
        <f>_xlfn.XOR($C$10,$C$6)</f>
        <v>1</v>
      </c>
      <c r="E58" s="10" t="b">
        <f>_xlfn.XOR($C$10,$C$7)</f>
        <v>0</v>
      </c>
      <c r="F58" s="10" t="b">
        <f>_xlfn.XOR($C$10,$C$8)</f>
        <v>1</v>
      </c>
      <c r="G58" s="10" t="b">
        <f>_xlfn.XOR($C$10,$C$9)</f>
        <v>0</v>
      </c>
      <c r="H58" s="10" t="b">
        <f>_xlfn.XOR($C$10,$C$10)</f>
        <v>0</v>
      </c>
      <c r="I58" s="10" t="b">
        <f>_xlfn.XOR($C$10,$C$11)</f>
        <v>1</v>
      </c>
      <c r="J58" s="10" t="b">
        <f>_xlfn.XOR($C$10,$C$12)</f>
        <v>1</v>
      </c>
      <c r="K58" s="10" t="e">
        <f>_xlfn.XOR($C$10,$C$13)</f>
        <v>#N/A</v>
      </c>
      <c r="L58" s="10" t="e">
        <f>_xlfn.XOR($C$10,$C$14)</f>
        <v>#VALUE!</v>
      </c>
      <c r="M58" s="10" t="e">
        <f>_xlfn.XOR($C$10,$C$15)</f>
        <v>#DIV/0!</v>
      </c>
    </row>
    <row r="59" spans="2:13" x14ac:dyDescent="0.2">
      <c r="B59" s="4" t="s">
        <v>16</v>
      </c>
      <c r="C59" s="10" t="b">
        <f>_xlfn.XOR($C$11,$C$5)</f>
        <v>1</v>
      </c>
      <c r="D59" s="10" t="b">
        <f>_xlfn.XOR($C$11,$C$6)</f>
        <v>0</v>
      </c>
      <c r="E59" s="10" t="b">
        <f>_xlfn.XOR($C$11,$C$7)</f>
        <v>1</v>
      </c>
      <c r="F59" s="10" t="b">
        <f>_xlfn.XOR($C$11,$C$8)</f>
        <v>0</v>
      </c>
      <c r="G59" s="10" t="b">
        <f>_xlfn.XOR($C$11,$C$9)</f>
        <v>1</v>
      </c>
      <c r="H59" s="10" t="b">
        <f>_xlfn.XOR($C$11,$C$10)</f>
        <v>1</v>
      </c>
      <c r="I59" s="10" t="e">
        <f>_xlfn.XOR($C$11,$C$11)</f>
        <v>#VALUE!</v>
      </c>
      <c r="J59" s="10" t="e">
        <f>_xlfn.XOR($C$11,$C$12)</f>
        <v>#VALUE!</v>
      </c>
      <c r="K59" s="10" t="e">
        <f>_xlfn.XOR($C$11,$C$13)</f>
        <v>#N/A</v>
      </c>
      <c r="L59" s="10" t="e">
        <f>_xlfn.XOR($C$11,$C$14)</f>
        <v>#VALUE!</v>
      </c>
      <c r="M59" s="10" t="e">
        <f>_xlfn.XOR($C$11,$C$15)</f>
        <v>#DIV/0!</v>
      </c>
    </row>
    <row r="60" spans="2:13" x14ac:dyDescent="0.2">
      <c r="B60" s="4" t="s">
        <v>17</v>
      </c>
      <c r="C60" s="10" t="b">
        <f>_xlfn.XOR($C$12,$C$5)</f>
        <v>1</v>
      </c>
      <c r="D60" s="10" t="b">
        <f>_xlfn.XOR($C$12,$C$6)</f>
        <v>0</v>
      </c>
      <c r="E60" s="10" t="b">
        <f>_xlfn.XOR($C$12,$C$7)</f>
        <v>1</v>
      </c>
      <c r="F60" s="10" t="b">
        <f>_xlfn.XOR($C$12,$C$8)</f>
        <v>0</v>
      </c>
      <c r="G60" s="10" t="b">
        <f>_xlfn.XOR($C$12,$C$9)</f>
        <v>1</v>
      </c>
      <c r="H60" s="10" t="b">
        <f>_xlfn.XOR($C$12,$C$10)</f>
        <v>1</v>
      </c>
      <c r="I60" s="10" t="e">
        <f>_xlfn.XOR($C$12,$C$11)</f>
        <v>#VALUE!</v>
      </c>
      <c r="J60" s="10" t="e">
        <f>_xlfn.XOR($C$12,$C$12)</f>
        <v>#VALUE!</v>
      </c>
      <c r="K60" s="10" t="e">
        <f>_xlfn.XOR($C$12,$C$13)</f>
        <v>#N/A</v>
      </c>
      <c r="L60" s="10" t="e">
        <f>_xlfn.XOR($C$12,$C$14)</f>
        <v>#VALUE!</v>
      </c>
      <c r="M60" s="10" t="e">
        <f>_xlfn.XOR($C$12,$C$15)</f>
        <v>#DIV/0!</v>
      </c>
    </row>
    <row r="61" spans="2:13" x14ac:dyDescent="0.2">
      <c r="B61" s="4" t="e">
        <v>#N/A</v>
      </c>
      <c r="C61" s="10" t="e">
        <f>_xlfn.XOR($C$13,$C$5)</f>
        <v>#N/A</v>
      </c>
      <c r="D61" s="10" t="e">
        <f>_xlfn.XOR($C$13,$C$6)</f>
        <v>#N/A</v>
      </c>
      <c r="E61" s="10" t="e">
        <f>_xlfn.XOR($C$13,$C$7)</f>
        <v>#N/A</v>
      </c>
      <c r="F61" s="10" t="e">
        <f>_xlfn.XOR($C$13,$C$8)</f>
        <v>#N/A</v>
      </c>
      <c r="G61" s="10" t="e">
        <f>_xlfn.XOR($C$13,$C$9)</f>
        <v>#N/A</v>
      </c>
      <c r="H61" s="10" t="e">
        <f>_xlfn.XOR($C$13,$C$10)</f>
        <v>#N/A</v>
      </c>
      <c r="I61" s="10" t="e">
        <f>_xlfn.XOR($C$13,$C$11)</f>
        <v>#N/A</v>
      </c>
      <c r="J61" s="10" t="e">
        <f>_xlfn.XOR($C$13,$C$12)</f>
        <v>#N/A</v>
      </c>
      <c r="K61" s="10" t="e">
        <f>_xlfn.XOR($C$13,$C$13)</f>
        <v>#N/A</v>
      </c>
      <c r="L61" s="10" t="e">
        <f>_xlfn.XOR($C$13,$C$14)</f>
        <v>#N/A</v>
      </c>
      <c r="M61" s="10" t="e">
        <f>_xlfn.XOR($C$13,$C$15)</f>
        <v>#N/A</v>
      </c>
    </row>
    <row r="62" spans="2:13" x14ac:dyDescent="0.2">
      <c r="B62" s="4" t="e">
        <v>#VALUE!</v>
      </c>
      <c r="C62" s="10" t="e">
        <f>_xlfn.XOR($C$14,$C$5)</f>
        <v>#VALUE!</v>
      </c>
      <c r="D62" s="10" t="e">
        <f>_xlfn.XOR($C$14,$C$6)</f>
        <v>#VALUE!</v>
      </c>
      <c r="E62" s="10" t="e">
        <f>_xlfn.XOR($C$14,$C$7)</f>
        <v>#VALUE!</v>
      </c>
      <c r="F62" s="10" t="e">
        <f>_xlfn.XOR($C$14,$C$8)</f>
        <v>#VALUE!</v>
      </c>
      <c r="G62" s="10" t="e">
        <f>_xlfn.XOR($C$14,$C$9)</f>
        <v>#VALUE!</v>
      </c>
      <c r="H62" s="10" t="e">
        <f>_xlfn.XOR($C$14,$C$10)</f>
        <v>#VALUE!</v>
      </c>
      <c r="I62" s="10" t="e">
        <f>_xlfn.XOR($C$14,$C$11)</f>
        <v>#VALUE!</v>
      </c>
      <c r="J62" s="10" t="e">
        <f>_xlfn.XOR($C$14,$C$12)</f>
        <v>#VALUE!</v>
      </c>
      <c r="K62" s="10" t="e">
        <f>_xlfn.XOR($C$14,$C$13)</f>
        <v>#VALUE!</v>
      </c>
      <c r="L62" s="10" t="e">
        <f>_xlfn.XOR($C$14,$C$14)</f>
        <v>#VALUE!</v>
      </c>
      <c r="M62" s="10" t="e">
        <f>_xlfn.XOR($C$14,$C$15)</f>
        <v>#VALUE!</v>
      </c>
    </row>
    <row r="63" spans="2:13" x14ac:dyDescent="0.2">
      <c r="B63" s="4" t="e">
        <v>#DIV/0!</v>
      </c>
      <c r="C63" s="10" t="e">
        <f>_xlfn.XOR($C$15,$C$5)</f>
        <v>#DIV/0!</v>
      </c>
      <c r="D63" s="10" t="e">
        <f>_xlfn.XOR($C$15,$C$6)</f>
        <v>#DIV/0!</v>
      </c>
      <c r="E63" s="10" t="e">
        <f>_xlfn.XOR($C$15,$C$7)</f>
        <v>#DIV/0!</v>
      </c>
      <c r="F63" s="10" t="e">
        <f>_xlfn.XOR($C$15,$C$8)</f>
        <v>#DIV/0!</v>
      </c>
      <c r="G63" s="10" t="e">
        <f>_xlfn.XOR($C$15,$C$9)</f>
        <v>#DIV/0!</v>
      </c>
      <c r="H63" s="10" t="e">
        <f>_xlfn.XOR($C$15,$C$10)</f>
        <v>#DIV/0!</v>
      </c>
      <c r="I63" s="10" t="e">
        <f>_xlfn.XOR($C$15,$C$11)</f>
        <v>#DIV/0!</v>
      </c>
      <c r="J63" s="10" t="e">
        <f>_xlfn.XOR($C$15,$C$12)</f>
        <v>#DIV/0!</v>
      </c>
      <c r="K63" s="10" t="e">
        <f>_xlfn.XOR($C$15,$C$13)</f>
        <v>#DIV/0!</v>
      </c>
      <c r="L63" s="10" t="e">
        <f>_xlfn.XOR($C$15,$C$14)</f>
        <v>#DIV/0!</v>
      </c>
      <c r="M63" s="10" t="e">
        <f>_xlfn.XOR($C$15,$C$15)</f>
        <v>#DIV/0!</v>
      </c>
    </row>
    <row r="65" spans="2:13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 x14ac:dyDescent="0.2">
      <c r="B66" s="3" t="s">
        <v>20</v>
      </c>
      <c r="C66" s="3"/>
      <c r="D66" s="3"/>
      <c r="E66" s="3"/>
      <c r="F66" s="3"/>
      <c r="G66" s="3"/>
      <c r="H66" s="3"/>
      <c r="I66" s="3"/>
      <c r="J66" s="3"/>
      <c r="K66" s="3"/>
    </row>
    <row r="68" spans="2:13" x14ac:dyDescent="0.2">
      <c r="B68" s="9" t="s">
        <v>21</v>
      </c>
      <c r="C68" s="9" t="s">
        <v>20</v>
      </c>
    </row>
    <row r="69" spans="2:13" x14ac:dyDescent="0.2">
      <c r="B69" s="4" t="b">
        <v>1</v>
      </c>
      <c r="C69" s="10" t="b">
        <f>NOT($C$5)</f>
        <v>0</v>
      </c>
    </row>
    <row r="70" spans="2:13" x14ac:dyDescent="0.2">
      <c r="B70" s="4" t="b">
        <v>0</v>
      </c>
      <c r="C70" s="10" t="b">
        <f>NOT($C$6)</f>
        <v>1</v>
      </c>
    </row>
    <row r="71" spans="2:13" x14ac:dyDescent="0.2">
      <c r="B71" s="4">
        <v>1</v>
      </c>
      <c r="C71" s="10" t="b">
        <f>NOT($C$7)</f>
        <v>0</v>
      </c>
    </row>
    <row r="72" spans="2:13" x14ac:dyDescent="0.2">
      <c r="B72" s="4">
        <v>0</v>
      </c>
      <c r="C72" s="10" t="b">
        <f>NOT($C$8)</f>
        <v>1</v>
      </c>
    </row>
    <row r="73" spans="2:13" x14ac:dyDescent="0.2">
      <c r="B73" s="4">
        <v>-1</v>
      </c>
      <c r="C73" s="10" t="b">
        <f>NOT($C$9)</f>
        <v>0</v>
      </c>
    </row>
    <row r="74" spans="2:13" x14ac:dyDescent="0.2">
      <c r="B74" s="4">
        <v>42.5</v>
      </c>
      <c r="C74" s="10" t="b">
        <f>NOT($C$10)</f>
        <v>0</v>
      </c>
    </row>
    <row r="75" spans="2:13" x14ac:dyDescent="0.2">
      <c r="B75" s="4" t="s">
        <v>16</v>
      </c>
      <c r="C75" s="10" t="e">
        <f>NOT($C$11)</f>
        <v>#VALUE!</v>
      </c>
    </row>
    <row r="76" spans="2:13" x14ac:dyDescent="0.2">
      <c r="B76" s="4" t="s">
        <v>17</v>
      </c>
      <c r="C76" s="10" t="b">
        <f>NOT($C$12)</f>
        <v>1</v>
      </c>
    </row>
    <row r="77" spans="2:13" x14ac:dyDescent="0.2">
      <c r="B77" s="4" t="e">
        <v>#N/A</v>
      </c>
      <c r="C77" s="10" t="e">
        <f>NOT($C$13)</f>
        <v>#N/A</v>
      </c>
    </row>
    <row r="78" spans="2:13" x14ac:dyDescent="0.2">
      <c r="B78" s="4" t="e">
        <v>#VALUE!</v>
      </c>
      <c r="C78" s="10" t="e">
        <f>NOT($C$14)</f>
        <v>#VALUE!</v>
      </c>
    </row>
    <row r="79" spans="2:13" x14ac:dyDescent="0.2">
      <c r="B79" s="4" t="e">
        <v>#DIV/0!</v>
      </c>
      <c r="C79" s="10" t="e">
        <f>NOT($C$15)</f>
        <v>#DIV/0!</v>
      </c>
    </row>
    <row r="80" spans="2:13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 x14ac:dyDescent="0.2">
      <c r="B82" s="3" t="s">
        <v>22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4" spans="2:13" x14ac:dyDescent="0.2">
      <c r="B84" s="9" t="s">
        <v>23</v>
      </c>
      <c r="C84" s="9" t="s">
        <v>24</v>
      </c>
      <c r="D84" s="9" t="s">
        <v>25</v>
      </c>
      <c r="E84" s="9" t="s">
        <v>26</v>
      </c>
      <c r="F84" s="9" t="s">
        <v>27</v>
      </c>
      <c r="G84" s="9" t="s">
        <v>38</v>
      </c>
      <c r="H84" s="9" t="s">
        <v>39</v>
      </c>
      <c r="I84" s="9" t="s">
        <v>27</v>
      </c>
    </row>
    <row r="85" spans="2:13" x14ac:dyDescent="0.2">
      <c r="B85" s="10">
        <v>1</v>
      </c>
      <c r="C85" s="1" t="s">
        <v>40</v>
      </c>
      <c r="D85" s="10" t="str">
        <f>IF(TRUE,"Yes","No")</f>
        <v>Yes</v>
      </c>
      <c r="E85" s="10" t="str">
        <f t="shared" ref="E85:E106" si="0">D85</f>
        <v>Yes</v>
      </c>
      <c r="F85" s="10" t="s">
        <v>28</v>
      </c>
      <c r="G85" s="10" t="str">
        <f t="shared" ref="G85:G106" si="1">IF(ISERROR(E85),IF(ISERROR(F85),"PASS","FAIL"),IF(TEXT(E85,"General")=TEXT(F85,"General"),"PASS","FAIL"))</f>
        <v>PASS</v>
      </c>
      <c r="H85" s="1" t="s">
        <v>41</v>
      </c>
      <c r="I85" t="s">
        <v>28</v>
      </c>
    </row>
    <row r="86" spans="2:13" x14ac:dyDescent="0.2">
      <c r="B86" s="10">
        <v>2</v>
      </c>
      <c r="C86" s="1" t="s">
        <v>42</v>
      </c>
      <c r="D86" s="10" t="str">
        <f>IF(FALSE,"Yes","No")</f>
        <v>No</v>
      </c>
      <c r="E86" s="10" t="str">
        <f t="shared" si="0"/>
        <v>No</v>
      </c>
      <c r="F86" s="10" t="s">
        <v>29</v>
      </c>
      <c r="G86" s="10" t="str">
        <f t="shared" si="1"/>
        <v>PASS</v>
      </c>
      <c r="H86" s="1" t="s">
        <v>43</v>
      </c>
      <c r="I86" t="s">
        <v>29</v>
      </c>
    </row>
    <row r="87" spans="2:13" x14ac:dyDescent="0.2">
      <c r="B87" s="10">
        <v>3</v>
      </c>
      <c r="C87" s="1" t="s">
        <v>44</v>
      </c>
      <c r="D87" s="10" t="str">
        <f>IF(1,"Yes","No")</f>
        <v>Yes</v>
      </c>
      <c r="E87" s="10" t="str">
        <f t="shared" si="0"/>
        <v>Yes</v>
      </c>
      <c r="F87" s="10" t="s">
        <v>28</v>
      </c>
      <c r="G87" s="10" t="str">
        <f t="shared" si="1"/>
        <v>PASS</v>
      </c>
      <c r="H87" s="1" t="s">
        <v>45</v>
      </c>
      <c r="I87" t="s">
        <v>28</v>
      </c>
    </row>
    <row r="88" spans="2:13" x14ac:dyDescent="0.2">
      <c r="B88" s="10">
        <v>4</v>
      </c>
      <c r="C88" s="1" t="s">
        <v>46</v>
      </c>
      <c r="D88" s="10" t="str">
        <f>IF(0,"Yes","No")</f>
        <v>No</v>
      </c>
      <c r="E88" s="10" t="str">
        <f t="shared" si="0"/>
        <v>No</v>
      </c>
      <c r="F88" s="10" t="s">
        <v>29</v>
      </c>
      <c r="G88" s="10" t="str">
        <f t="shared" si="1"/>
        <v>PASS</v>
      </c>
      <c r="H88" s="1" t="s">
        <v>47</v>
      </c>
      <c r="I88" t="s">
        <v>29</v>
      </c>
    </row>
    <row r="89" spans="2:13" x14ac:dyDescent="0.2">
      <c r="B89" s="10">
        <v>5</v>
      </c>
      <c r="C89" s="1" t="s">
        <v>48</v>
      </c>
      <c r="D89" s="10" t="str">
        <f>IF(-1,"Yes","No")</f>
        <v>Yes</v>
      </c>
      <c r="E89" s="10" t="str">
        <f t="shared" si="0"/>
        <v>Yes</v>
      </c>
      <c r="F89" s="10" t="s">
        <v>28</v>
      </c>
      <c r="G89" s="10" t="str">
        <f t="shared" si="1"/>
        <v>PASS</v>
      </c>
      <c r="H89" s="1" t="s">
        <v>49</v>
      </c>
      <c r="I89" t="s">
        <v>28</v>
      </c>
    </row>
    <row r="90" spans="2:13" x14ac:dyDescent="0.2">
      <c r="B90" s="10">
        <v>6</v>
      </c>
      <c r="C90" s="1" t="s">
        <v>50</v>
      </c>
      <c r="D90" s="10" t="str">
        <f>IF(42.5,"Yes","No")</f>
        <v>Yes</v>
      </c>
      <c r="E90" s="10" t="str">
        <f t="shared" si="0"/>
        <v>Yes</v>
      </c>
      <c r="F90" s="10" t="s">
        <v>28</v>
      </c>
      <c r="G90" s="10" t="str">
        <f t="shared" si="1"/>
        <v>PASS</v>
      </c>
      <c r="H90" s="1" t="s">
        <v>51</v>
      </c>
      <c r="I90" t="s">
        <v>28</v>
      </c>
    </row>
    <row r="91" spans="2:13" x14ac:dyDescent="0.2">
      <c r="B91" s="10">
        <v>7</v>
      </c>
      <c r="C91" s="1" t="s">
        <v>52</v>
      </c>
      <c r="D91" s="10" t="str">
        <f>IF($C$10&gt;0,"Pos","Neg")</f>
        <v>Pos</v>
      </c>
      <c r="E91" s="10" t="str">
        <f t="shared" si="0"/>
        <v>Pos</v>
      </c>
      <c r="F91" s="10" t="s">
        <v>30</v>
      </c>
      <c r="G91" s="10" t="str">
        <f t="shared" si="1"/>
        <v>PASS</v>
      </c>
      <c r="H91" s="1" t="s">
        <v>53</v>
      </c>
      <c r="I91" t="s">
        <v>30</v>
      </c>
    </row>
    <row r="92" spans="2:13" x14ac:dyDescent="0.2">
      <c r="B92" s="10">
        <v>8</v>
      </c>
      <c r="C92" s="1" t="s">
        <v>54</v>
      </c>
      <c r="D92" s="10" t="str">
        <f>IF($C$5=TRUE,"Match","No")</f>
        <v>Match</v>
      </c>
      <c r="E92" s="10" t="str">
        <f t="shared" si="0"/>
        <v>Match</v>
      </c>
      <c r="F92" s="10" t="s">
        <v>31</v>
      </c>
      <c r="G92" s="10" t="str">
        <f t="shared" si="1"/>
        <v>PASS</v>
      </c>
      <c r="H92" s="1" t="s">
        <v>55</v>
      </c>
      <c r="I92" t="s">
        <v>31</v>
      </c>
    </row>
    <row r="93" spans="2:13" x14ac:dyDescent="0.2">
      <c r="B93" s="10">
        <v>9</v>
      </c>
      <c r="C93" s="1" t="s">
        <v>56</v>
      </c>
      <c r="D93" s="10" t="str">
        <f>IF($C$8&lt;&gt;0,"NZ","Z")</f>
        <v>Z</v>
      </c>
      <c r="E93" s="10" t="str">
        <f t="shared" si="0"/>
        <v>Z</v>
      </c>
      <c r="F93" s="10" t="s">
        <v>57</v>
      </c>
      <c r="G93" s="10" t="str">
        <f t="shared" si="1"/>
        <v>FAIL</v>
      </c>
      <c r="H93" s="1" t="s">
        <v>58</v>
      </c>
      <c r="I93" t="s">
        <v>32</v>
      </c>
    </row>
    <row r="94" spans="2:13" x14ac:dyDescent="0.2">
      <c r="B94" s="10">
        <v>10</v>
      </c>
      <c r="C94" s="1" t="s">
        <v>33</v>
      </c>
      <c r="D94" s="10" t="str">
        <f>IF($C$7&gt;0,IF($C$7&gt;5,"Big","Small"),"Neg")</f>
        <v>Small</v>
      </c>
      <c r="E94" s="10" t="str">
        <f t="shared" si="0"/>
        <v>Small</v>
      </c>
      <c r="F94" s="10" t="s">
        <v>34</v>
      </c>
      <c r="G94" s="10" t="str">
        <f t="shared" si="1"/>
        <v>PASS</v>
      </c>
      <c r="H94" s="1" t="s">
        <v>59</v>
      </c>
      <c r="I94" t="s">
        <v>34</v>
      </c>
    </row>
    <row r="95" spans="2:13" x14ac:dyDescent="0.2">
      <c r="B95" s="10">
        <v>11</v>
      </c>
      <c r="C95" s="1" t="s">
        <v>60</v>
      </c>
      <c r="D95" s="10" t="str">
        <f>IF(AND($C$5,$C$7),"Both","No")</f>
        <v>Both</v>
      </c>
      <c r="E95" s="10" t="str">
        <f t="shared" si="0"/>
        <v>Both</v>
      </c>
      <c r="F95" s="10" t="s">
        <v>35</v>
      </c>
      <c r="G95" s="10" t="str">
        <f t="shared" si="1"/>
        <v>PASS</v>
      </c>
      <c r="H95" s="1" t="s">
        <v>61</v>
      </c>
      <c r="I95" t="s">
        <v>35</v>
      </c>
    </row>
    <row r="96" spans="2:13" x14ac:dyDescent="0.2">
      <c r="B96" s="10">
        <v>12</v>
      </c>
      <c r="C96" s="1" t="s">
        <v>62</v>
      </c>
      <c r="D96" s="10" t="str">
        <f>IF(OR($C$6,$C$5),"Any","None")</f>
        <v>Any</v>
      </c>
      <c r="E96" s="10" t="str">
        <f t="shared" si="0"/>
        <v>Any</v>
      </c>
      <c r="F96" s="10" t="s">
        <v>36</v>
      </c>
      <c r="G96" s="10" t="str">
        <f t="shared" si="1"/>
        <v>PASS</v>
      </c>
      <c r="H96" s="1" t="s">
        <v>63</v>
      </c>
      <c r="I96" t="s">
        <v>36</v>
      </c>
    </row>
    <row r="97" spans="2:13" x14ac:dyDescent="0.2">
      <c r="B97" s="10">
        <v>13</v>
      </c>
      <c r="C97" s="1" t="s">
        <v>64</v>
      </c>
      <c r="D97" s="10" t="str">
        <f>IF(NOT($C$6),"Yes","No")</f>
        <v>Yes</v>
      </c>
      <c r="E97" s="10" t="str">
        <f t="shared" si="0"/>
        <v>Yes</v>
      </c>
      <c r="F97" s="10" t="s">
        <v>28</v>
      </c>
      <c r="G97" s="10" t="str">
        <f t="shared" si="1"/>
        <v>PASS</v>
      </c>
      <c r="H97" s="1" t="s">
        <v>65</v>
      </c>
      <c r="I97" t="s">
        <v>37</v>
      </c>
    </row>
    <row r="98" spans="2:13" x14ac:dyDescent="0.2">
      <c r="B98" s="10">
        <v>14</v>
      </c>
      <c r="C98" s="1" t="s">
        <v>66</v>
      </c>
      <c r="D98" s="10" t="str">
        <f>IF(TRUE,"Yes")</f>
        <v>Yes</v>
      </c>
      <c r="E98" s="10" t="str">
        <f t="shared" si="0"/>
        <v>Yes</v>
      </c>
      <c r="F98" s="10" t="s">
        <v>28</v>
      </c>
      <c r="G98" s="10" t="str">
        <f t="shared" si="1"/>
        <v>PASS</v>
      </c>
      <c r="H98" s="1" t="s">
        <v>67</v>
      </c>
      <c r="I98" t="s">
        <v>28</v>
      </c>
    </row>
    <row r="99" spans="2:13" x14ac:dyDescent="0.2">
      <c r="B99" s="10">
        <v>15</v>
      </c>
      <c r="C99" s="1" t="s">
        <v>68</v>
      </c>
      <c r="D99" s="10" t="b">
        <f>IF(FALSE,"Yes")</f>
        <v>0</v>
      </c>
      <c r="E99" s="10" t="b">
        <f t="shared" si="0"/>
        <v>0</v>
      </c>
      <c r="F99" s="10" t="b">
        <v>0</v>
      </c>
      <c r="G99" s="10" t="str">
        <f t="shared" si="1"/>
        <v>PASS</v>
      </c>
      <c r="H99" s="1" t="s">
        <v>69</v>
      </c>
    </row>
    <row r="100" spans="2:13" x14ac:dyDescent="0.2">
      <c r="B100" s="10">
        <v>16</v>
      </c>
      <c r="C100" s="1" t="s">
        <v>70</v>
      </c>
      <c r="D100" s="10" t="e">
        <f>IF($C$13&gt;0,"Yes","No")</f>
        <v>#N/A</v>
      </c>
      <c r="E100" s="10" t="e">
        <f t="shared" si="0"/>
        <v>#N/A</v>
      </c>
      <c r="F100" s="10" t="e">
        <v>#N/A</v>
      </c>
      <c r="G100" s="10" t="str">
        <f t="shared" si="1"/>
        <v>PASS</v>
      </c>
      <c r="H100" s="1" t="s">
        <v>71</v>
      </c>
    </row>
    <row r="101" spans="2:13" x14ac:dyDescent="0.2">
      <c r="B101" s="10">
        <v>17</v>
      </c>
      <c r="C101" s="1" t="s">
        <v>72</v>
      </c>
      <c r="D101" s="10" t="str">
        <f>IF($C$5,"T","F")</f>
        <v>T</v>
      </c>
      <c r="E101" s="10" t="str">
        <f t="shared" si="0"/>
        <v>T</v>
      </c>
      <c r="F101" s="10" t="s">
        <v>73</v>
      </c>
      <c r="G101" s="10" t="str">
        <f t="shared" si="1"/>
        <v>PASS</v>
      </c>
      <c r="H101" s="1" t="s">
        <v>74</v>
      </c>
    </row>
    <row r="102" spans="2:13" x14ac:dyDescent="0.2">
      <c r="B102" s="10">
        <v>18</v>
      </c>
      <c r="C102" s="1" t="s">
        <v>75</v>
      </c>
      <c r="D102" s="10" t="str">
        <f>IF($C$6,"T","F")</f>
        <v>F</v>
      </c>
      <c r="E102" s="10" t="str">
        <f t="shared" si="0"/>
        <v>F</v>
      </c>
      <c r="F102" s="10" t="s">
        <v>76</v>
      </c>
      <c r="G102" s="10" t="str">
        <f t="shared" si="1"/>
        <v>PASS</v>
      </c>
      <c r="H102" s="1" t="s">
        <v>77</v>
      </c>
    </row>
    <row r="103" spans="2:13" x14ac:dyDescent="0.2">
      <c r="B103" s="10">
        <v>19</v>
      </c>
      <c r="C103" s="1" t="s">
        <v>78</v>
      </c>
      <c r="D103" s="10">
        <f>IF($C$5,100,200)</f>
        <v>100</v>
      </c>
      <c r="E103" s="10">
        <f t="shared" si="0"/>
        <v>100</v>
      </c>
      <c r="F103" s="10">
        <v>100</v>
      </c>
      <c r="G103" s="10" t="str">
        <f t="shared" si="1"/>
        <v>PASS</v>
      </c>
      <c r="H103" s="1" t="s">
        <v>79</v>
      </c>
    </row>
    <row r="104" spans="2:13" x14ac:dyDescent="0.2">
      <c r="B104" s="10">
        <v>20</v>
      </c>
      <c r="C104" s="1" t="s">
        <v>80</v>
      </c>
      <c r="D104" s="10">
        <f>IF(TRUE,$C$7+$C$10,0)</f>
        <v>43.5</v>
      </c>
      <c r="E104" s="10">
        <f t="shared" si="0"/>
        <v>43.5</v>
      </c>
      <c r="F104" s="10">
        <v>43.5</v>
      </c>
      <c r="G104" s="10" t="str">
        <f t="shared" si="1"/>
        <v>PASS</v>
      </c>
      <c r="H104" s="1" t="s">
        <v>81</v>
      </c>
    </row>
    <row r="105" spans="2:13" x14ac:dyDescent="0.2">
      <c r="B105" s="10">
        <v>21</v>
      </c>
      <c r="C105" s="1" t="s">
        <v>82</v>
      </c>
      <c r="D105" s="10" t="str">
        <f>IF($C$12,"T","F")</f>
        <v>F</v>
      </c>
      <c r="E105" s="10" t="str">
        <f t="shared" si="0"/>
        <v>F</v>
      </c>
      <c r="F105" s="10" t="e">
        <v>#VALUE!</v>
      </c>
      <c r="G105" s="10" t="e">
        <f t="shared" si="1"/>
        <v>#VALUE!</v>
      </c>
      <c r="H105" s="1" t="s">
        <v>83</v>
      </c>
    </row>
    <row r="106" spans="2:13" x14ac:dyDescent="0.2">
      <c r="B106" s="10">
        <v>22</v>
      </c>
      <c r="C106" s="1" t="s">
        <v>84</v>
      </c>
      <c r="D106" s="10" t="str">
        <f>IF($C$10&gt;=$C$7,"GE","LT")</f>
        <v>GE</v>
      </c>
      <c r="E106" s="10" t="str">
        <f t="shared" si="0"/>
        <v>GE</v>
      </c>
      <c r="F106" s="10" t="s">
        <v>85</v>
      </c>
      <c r="G106" s="10" t="str">
        <f t="shared" si="1"/>
        <v>PASS</v>
      </c>
      <c r="H106" s="1" t="s">
        <v>86</v>
      </c>
    </row>
    <row r="109" spans="2:13" x14ac:dyDescent="0.2">
      <c r="B109" s="3" t="s">
        <v>87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1" spans="2:13" x14ac:dyDescent="0.2">
      <c r="B111" s="9" t="s">
        <v>23</v>
      </c>
      <c r="C111" s="9" t="s">
        <v>24</v>
      </c>
      <c r="D111" s="9" t="s">
        <v>25</v>
      </c>
      <c r="E111" s="9" t="s">
        <v>26</v>
      </c>
      <c r="F111" s="9" t="s">
        <v>27</v>
      </c>
      <c r="G111" s="9" t="s">
        <v>38</v>
      </c>
      <c r="H111" s="9" t="s">
        <v>39</v>
      </c>
    </row>
    <row r="112" spans="2:13" x14ac:dyDescent="0.2">
      <c r="B112" s="10">
        <v>1</v>
      </c>
      <c r="C112" s="1" t="s">
        <v>88</v>
      </c>
      <c r="D112" s="10" t="str" cm="1">
        <f t="array" ref="D112">_xlfn.IFS(TRUE,"A",TRUE,"B")</f>
        <v>A</v>
      </c>
      <c r="E112" s="10" t="str">
        <f t="shared" ref="E112:E125" si="2">D112</f>
        <v>A</v>
      </c>
      <c r="F112" s="10" t="s">
        <v>89</v>
      </c>
      <c r="G112" s="10" t="str">
        <f t="shared" ref="G112:G125" si="3">IF(ISERROR(E112),IF(ISERROR(F112),"PASS","FAIL"),IF(TEXT(E112,"General")=TEXT(F112,"General"),"PASS","FAIL"))</f>
        <v>PASS</v>
      </c>
      <c r="H112" s="1" t="s">
        <v>90</v>
      </c>
    </row>
    <row r="113" spans="2:13" x14ac:dyDescent="0.2">
      <c r="B113" s="10">
        <v>2</v>
      </c>
      <c r="C113" s="1" t="s">
        <v>91</v>
      </c>
      <c r="D113" s="10" t="str" cm="1">
        <f t="array" ref="D113">_xlfn.IFS(FALSE,"A",TRUE,"B")</f>
        <v>B</v>
      </c>
      <c r="E113" s="10" t="str">
        <f t="shared" si="2"/>
        <v>B</v>
      </c>
      <c r="F113" s="10" t="s">
        <v>92</v>
      </c>
      <c r="G113" s="10" t="str">
        <f t="shared" si="3"/>
        <v>PASS</v>
      </c>
      <c r="H113" s="1" t="s">
        <v>93</v>
      </c>
    </row>
    <row r="114" spans="2:13" x14ac:dyDescent="0.2">
      <c r="B114" s="10">
        <v>3</v>
      </c>
      <c r="C114" s="1" t="s">
        <v>94</v>
      </c>
      <c r="D114" s="10" t="str" cm="1">
        <f t="array" ref="D114">_xlfn.IFS(FALSE,"A",FALSE,"B",TRUE,"C")</f>
        <v>C</v>
      </c>
      <c r="E114" s="10" t="str">
        <f t="shared" si="2"/>
        <v>C</v>
      </c>
      <c r="F114" s="10" t="s">
        <v>95</v>
      </c>
      <c r="G114" s="10" t="str">
        <f t="shared" si="3"/>
        <v>PASS</v>
      </c>
      <c r="H114" s="1" t="s">
        <v>96</v>
      </c>
    </row>
    <row r="115" spans="2:13" x14ac:dyDescent="0.2">
      <c r="B115" s="10">
        <v>4</v>
      </c>
      <c r="C115" s="1" t="s">
        <v>97</v>
      </c>
      <c r="D115" s="10" t="e" cm="1">
        <f t="array" ref="D115">_xlfn.IFS(FALSE,"A",FALSE,"B")</f>
        <v>#N/A</v>
      </c>
      <c r="E115" s="10" t="e">
        <f t="shared" si="2"/>
        <v>#N/A</v>
      </c>
      <c r="F115" s="10" t="e">
        <v>#N/A</v>
      </c>
      <c r="G115" s="10" t="str">
        <f t="shared" si="3"/>
        <v>PASS</v>
      </c>
      <c r="H115" s="1" t="s">
        <v>98</v>
      </c>
    </row>
    <row r="116" spans="2:13" x14ac:dyDescent="0.2">
      <c r="B116" s="10">
        <v>5</v>
      </c>
      <c r="C116" s="1" t="s">
        <v>99</v>
      </c>
      <c r="D116" s="10" t="str" cm="1">
        <f t="array" ref="D116">_xlfn.IFS(1,"Yes",TRUE,"No")</f>
        <v>Yes</v>
      </c>
      <c r="E116" s="10" t="str">
        <f t="shared" si="2"/>
        <v>Yes</v>
      </c>
      <c r="F116" s="10" t="s">
        <v>28</v>
      </c>
      <c r="G116" s="10" t="str">
        <f t="shared" si="3"/>
        <v>PASS</v>
      </c>
      <c r="H116" s="1" t="s">
        <v>100</v>
      </c>
    </row>
    <row r="117" spans="2:13" x14ac:dyDescent="0.2">
      <c r="B117" s="10">
        <v>6</v>
      </c>
      <c r="C117" s="1" t="s">
        <v>101</v>
      </c>
      <c r="D117" s="10" t="str" cm="1">
        <f t="array" ref="D117">_xlfn.IFS(0,"A",1,"B")</f>
        <v>B</v>
      </c>
      <c r="E117" s="10" t="str">
        <f t="shared" si="2"/>
        <v>B</v>
      </c>
      <c r="F117" s="10" t="s">
        <v>92</v>
      </c>
      <c r="G117" s="10" t="str">
        <f t="shared" si="3"/>
        <v>PASS</v>
      </c>
      <c r="H117" s="1" t="s">
        <v>102</v>
      </c>
    </row>
    <row r="118" spans="2:13" x14ac:dyDescent="0.2">
      <c r="B118" s="10">
        <v>7</v>
      </c>
      <c r="C118" s="1" t="s">
        <v>103</v>
      </c>
      <c r="D118" s="10" t="str" cm="1">
        <f t="array" ref="D118">_xlfn.IFS($C$7&lt;0,"Neg",$C$7=0,"Zero",$C$7&gt;0,"Pos")</f>
        <v>Pos</v>
      </c>
      <c r="E118" s="10" t="str">
        <f t="shared" si="2"/>
        <v>Pos</v>
      </c>
      <c r="F118" s="10" t="s">
        <v>30</v>
      </c>
      <c r="G118" s="10" t="str">
        <f t="shared" si="3"/>
        <v>PASS</v>
      </c>
      <c r="H118" s="1" t="s">
        <v>104</v>
      </c>
    </row>
    <row r="119" spans="2:13" x14ac:dyDescent="0.2">
      <c r="B119" s="10">
        <v>8</v>
      </c>
      <c r="C119" s="1" t="s">
        <v>105</v>
      </c>
      <c r="D119" s="10" t="str" cm="1">
        <f t="array" ref="D119">_xlfn.IFS($C$10&gt;100,"Big",$C$10&gt;10,"Med",TRUE,"Small")</f>
        <v>Med</v>
      </c>
      <c r="E119" s="10" t="str">
        <f t="shared" si="2"/>
        <v>Med</v>
      </c>
      <c r="F119" s="10" t="s">
        <v>106</v>
      </c>
      <c r="G119" s="10" t="str">
        <f t="shared" si="3"/>
        <v>PASS</v>
      </c>
      <c r="H119" s="1" t="s">
        <v>107</v>
      </c>
    </row>
    <row r="120" spans="2:13" x14ac:dyDescent="0.2">
      <c r="B120" s="10">
        <v>9</v>
      </c>
      <c r="C120" s="1" t="s">
        <v>108</v>
      </c>
      <c r="D120" s="10" t="e" cm="1">
        <f t="array" ref="D120">_xlfn.IFS($C$13,"Yes",TRUE,"No")</f>
        <v>#N/A</v>
      </c>
      <c r="E120" s="10" t="e">
        <f t="shared" si="2"/>
        <v>#N/A</v>
      </c>
      <c r="F120" s="10" t="e">
        <v>#N/A</v>
      </c>
      <c r="G120" s="10" t="str">
        <f t="shared" si="3"/>
        <v>PASS</v>
      </c>
      <c r="H120" s="1" t="s">
        <v>71</v>
      </c>
    </row>
    <row r="121" spans="2:13" x14ac:dyDescent="0.2">
      <c r="B121" s="10">
        <v>10</v>
      </c>
      <c r="C121" s="1" t="s">
        <v>109</v>
      </c>
      <c r="D121" s="10" t="e" cm="1">
        <f t="array" ref="D121">_xlfn.IFS(FALSE,"A",0,"B",FALSE,"C")</f>
        <v>#N/A</v>
      </c>
      <c r="E121" s="10" t="e">
        <f t="shared" si="2"/>
        <v>#N/A</v>
      </c>
      <c r="F121" s="10" t="e">
        <v>#N/A</v>
      </c>
      <c r="G121" s="10" t="str">
        <f t="shared" si="3"/>
        <v>PASS</v>
      </c>
      <c r="H121" s="1" t="s">
        <v>110</v>
      </c>
    </row>
    <row r="122" spans="2:13" x14ac:dyDescent="0.2">
      <c r="B122" s="10">
        <v>11</v>
      </c>
      <c r="C122" s="1" t="s">
        <v>111</v>
      </c>
      <c r="D122" s="10" t="str" cm="1">
        <f t="array" ref="D122">_xlfn.IFS(TRUE,"Only")</f>
        <v>Only</v>
      </c>
      <c r="E122" s="10" t="str">
        <f t="shared" si="2"/>
        <v>Only</v>
      </c>
      <c r="F122" s="10" t="s">
        <v>112</v>
      </c>
      <c r="G122" s="10" t="str">
        <f t="shared" si="3"/>
        <v>PASS</v>
      </c>
      <c r="H122" s="1" t="s">
        <v>113</v>
      </c>
    </row>
    <row r="123" spans="2:13" x14ac:dyDescent="0.2">
      <c r="B123" s="10">
        <v>12</v>
      </c>
      <c r="C123" s="1" t="s">
        <v>114</v>
      </c>
      <c r="D123" s="10" t="str" cm="1">
        <f t="array" ref="D123">_xlfn.IFS(AND($C$5,$C$7),"Both",TRUE,"Else")</f>
        <v>Both</v>
      </c>
      <c r="E123" s="10" t="str">
        <f t="shared" si="2"/>
        <v>Both</v>
      </c>
      <c r="F123" s="10" t="s">
        <v>35</v>
      </c>
      <c r="G123" s="10" t="str">
        <f t="shared" si="3"/>
        <v>PASS</v>
      </c>
      <c r="H123" s="1" t="s">
        <v>115</v>
      </c>
    </row>
    <row r="124" spans="2:13" x14ac:dyDescent="0.2">
      <c r="B124" s="10">
        <v>13</v>
      </c>
      <c r="C124" s="1" t="s">
        <v>116</v>
      </c>
      <c r="D124" s="10" cm="1">
        <f t="array" ref="D124">_xlfn.IFS(TRUE,$C$7+$C$10)</f>
        <v>43.5</v>
      </c>
      <c r="E124" s="10">
        <f t="shared" si="2"/>
        <v>43.5</v>
      </c>
      <c r="F124" s="10">
        <v>43.5</v>
      </c>
      <c r="G124" s="10" t="str">
        <f t="shared" si="3"/>
        <v>PASS</v>
      </c>
      <c r="H124" s="1" t="s">
        <v>117</v>
      </c>
    </row>
    <row r="125" spans="2:13" x14ac:dyDescent="0.2">
      <c r="B125" s="10">
        <v>14</v>
      </c>
      <c r="C125" s="1" t="s">
        <v>118</v>
      </c>
      <c r="D125" s="10" t="str" cm="1">
        <f t="array" ref="D125">_xlfn.IFS($C$5,"First",$C$7,"Second",TRUE,"Third")</f>
        <v>First</v>
      </c>
      <c r="E125" s="10" t="str">
        <f t="shared" si="2"/>
        <v>First</v>
      </c>
      <c r="F125" s="10" t="s">
        <v>119</v>
      </c>
      <c r="G125" s="10" t="str">
        <f t="shared" si="3"/>
        <v>PASS</v>
      </c>
      <c r="H125" s="1" t="s">
        <v>120</v>
      </c>
    </row>
    <row r="128" spans="2:13" x14ac:dyDescent="0.2">
      <c r="B128" s="3" t="s">
        <v>121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30" spans="2:8" x14ac:dyDescent="0.2"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27</v>
      </c>
      <c r="G130" s="9" t="s">
        <v>38</v>
      </c>
      <c r="H130" s="9" t="s">
        <v>39</v>
      </c>
    </row>
    <row r="131" spans="2:8" x14ac:dyDescent="0.2">
      <c r="B131" s="10">
        <v>1</v>
      </c>
      <c r="C131" s="1" t="s">
        <v>122</v>
      </c>
      <c r="D131" s="10" t="str" cm="1">
        <f t="array" ref="D131">_xlfn.SWITCH(1,1,"One",2,"Two",3,"Three")</f>
        <v>One</v>
      </c>
      <c r="E131" s="10" t="str">
        <f t="shared" ref="E131:E146" si="4">D131</f>
        <v>One</v>
      </c>
      <c r="F131" s="10" t="s">
        <v>2</v>
      </c>
      <c r="G131" s="10" t="str">
        <f t="shared" ref="G131:G146" si="5">IF(ISERROR(E131),IF(ISERROR(F131),"PASS","FAIL"),IF(TEXT(E131,"General")=TEXT(F131,"General"),"PASS","FAIL"))</f>
        <v>PASS</v>
      </c>
      <c r="H131" s="1" t="s">
        <v>123</v>
      </c>
    </row>
    <row r="132" spans="2:8" x14ac:dyDescent="0.2">
      <c r="B132" s="10">
        <v>2</v>
      </c>
      <c r="C132" s="1" t="s">
        <v>124</v>
      </c>
      <c r="D132" s="10" t="str" cm="1">
        <f t="array" ref="D132">_xlfn.SWITCH(2,1,"One",2,"Two",3,"Three")</f>
        <v>Two</v>
      </c>
      <c r="E132" s="10" t="str">
        <f t="shared" si="4"/>
        <v>Two</v>
      </c>
      <c r="F132" s="10" t="s">
        <v>125</v>
      </c>
      <c r="G132" s="10" t="str">
        <f t="shared" si="5"/>
        <v>PASS</v>
      </c>
      <c r="H132" s="1" t="s">
        <v>126</v>
      </c>
    </row>
    <row r="133" spans="2:8" x14ac:dyDescent="0.2">
      <c r="B133" s="10">
        <v>3</v>
      </c>
      <c r="C133" s="1" t="s">
        <v>127</v>
      </c>
      <c r="D133" s="10" t="str" cm="1">
        <f t="array" ref="D133">_xlfn.SWITCH(3,1,"One",2,"Two",3,"Three")</f>
        <v>Three</v>
      </c>
      <c r="E133" s="10" t="str">
        <f t="shared" si="4"/>
        <v>Three</v>
      </c>
      <c r="F133" s="10" t="s">
        <v>128</v>
      </c>
      <c r="G133" s="10" t="str">
        <f t="shared" si="5"/>
        <v>PASS</v>
      </c>
      <c r="H133" s="1" t="s">
        <v>129</v>
      </c>
    </row>
    <row r="134" spans="2:8" x14ac:dyDescent="0.2">
      <c r="B134" s="10">
        <v>4</v>
      </c>
      <c r="C134" s="1" t="s">
        <v>130</v>
      </c>
      <c r="D134" s="10" t="str" cm="1">
        <f t="array" ref="D134">_xlfn.SWITCH(99,1,"One",2,"Two","Default")</f>
        <v>Default</v>
      </c>
      <c r="E134" s="10" t="str">
        <f t="shared" si="4"/>
        <v>Default</v>
      </c>
      <c r="F134" s="10" t="s">
        <v>131</v>
      </c>
      <c r="G134" s="10" t="str">
        <f t="shared" si="5"/>
        <v>PASS</v>
      </c>
      <c r="H134" s="1" t="s">
        <v>132</v>
      </c>
    </row>
    <row r="135" spans="2:8" x14ac:dyDescent="0.2">
      <c r="B135" s="10">
        <v>5</v>
      </c>
      <c r="C135" s="1" t="s">
        <v>133</v>
      </c>
      <c r="D135" s="10" t="e" cm="1">
        <f t="array" ref="D135">_xlfn.SWITCH(99,1,"One",2,"Two")</f>
        <v>#N/A</v>
      </c>
      <c r="E135" s="10" t="e">
        <f t="shared" si="4"/>
        <v>#N/A</v>
      </c>
      <c r="F135" s="10" t="e">
        <v>#N/A</v>
      </c>
      <c r="G135" s="10" t="str">
        <f t="shared" si="5"/>
        <v>PASS</v>
      </c>
      <c r="H135" s="1" t="s">
        <v>134</v>
      </c>
    </row>
    <row r="136" spans="2:8" x14ac:dyDescent="0.2">
      <c r="B136" s="10">
        <v>6</v>
      </c>
      <c r="C136" s="1" t="s">
        <v>135</v>
      </c>
      <c r="D136" s="10" t="str" cm="1">
        <f t="array" ref="D136">_xlfn.SWITCH(TRUE,TRUE,"Yes",FALSE,"No")</f>
        <v>Yes</v>
      </c>
      <c r="E136" s="10" t="str">
        <f t="shared" si="4"/>
        <v>Yes</v>
      </c>
      <c r="F136" s="10" t="s">
        <v>28</v>
      </c>
      <c r="G136" s="10" t="str">
        <f t="shared" si="5"/>
        <v>PASS</v>
      </c>
      <c r="H136" s="1" t="s">
        <v>136</v>
      </c>
    </row>
    <row r="137" spans="2:8" x14ac:dyDescent="0.2">
      <c r="B137" s="10">
        <v>7</v>
      </c>
      <c r="C137" s="1" t="s">
        <v>137</v>
      </c>
      <c r="D137" s="10" t="str" cm="1">
        <f t="array" ref="D137">_xlfn.SWITCH(FALSE,TRUE,"Yes",FALSE,"No")</f>
        <v>No</v>
      </c>
      <c r="E137" s="10" t="str">
        <f t="shared" si="4"/>
        <v>No</v>
      </c>
      <c r="F137" s="10" t="s">
        <v>29</v>
      </c>
      <c r="G137" s="10" t="str">
        <f t="shared" si="5"/>
        <v>PASS</v>
      </c>
      <c r="H137" s="1" t="s">
        <v>136</v>
      </c>
    </row>
    <row r="138" spans="2:8" x14ac:dyDescent="0.2">
      <c r="B138" s="10">
        <v>8</v>
      </c>
      <c r="C138" s="1" t="s">
        <v>138</v>
      </c>
      <c r="D138" s="10" t="str" cm="1">
        <f t="array" ref="D138">_xlfn.SWITCH("Hello","Hi","Informal","Hello","Formal")</f>
        <v>Formal</v>
      </c>
      <c r="E138" s="10" t="str">
        <f t="shared" si="4"/>
        <v>Formal</v>
      </c>
      <c r="F138" s="10" t="s">
        <v>139</v>
      </c>
      <c r="G138" s="10" t="str">
        <f t="shared" si="5"/>
        <v>PASS</v>
      </c>
      <c r="H138" s="1" t="s">
        <v>140</v>
      </c>
    </row>
    <row r="139" spans="2:8" x14ac:dyDescent="0.2">
      <c r="B139" s="10">
        <v>9</v>
      </c>
      <c r="C139" s="1" t="s">
        <v>141</v>
      </c>
      <c r="D139" s="10" t="str" cm="1">
        <f t="array" ref="D139">_xlfn.SWITCH($C$7,0,"Zero",1,"One",-1,"Neg")</f>
        <v>One</v>
      </c>
      <c r="E139" s="10" t="str">
        <f t="shared" si="4"/>
        <v>One</v>
      </c>
      <c r="F139" s="10" t="s">
        <v>2</v>
      </c>
      <c r="G139" s="10" t="str">
        <f t="shared" si="5"/>
        <v>PASS</v>
      </c>
      <c r="H139" s="1" t="s">
        <v>142</v>
      </c>
    </row>
    <row r="140" spans="2:8" x14ac:dyDescent="0.2">
      <c r="B140" s="10">
        <v>10</v>
      </c>
      <c r="C140" s="1" t="s">
        <v>143</v>
      </c>
      <c r="D140" s="10" t="str" cm="1">
        <f t="array" ref="D140">_xlfn.SWITCH($C$8,0,"Zero",1,"One")</f>
        <v>Zero</v>
      </c>
      <c r="E140" s="10" t="str">
        <f t="shared" si="4"/>
        <v>Zero</v>
      </c>
      <c r="F140" s="10" t="s">
        <v>1</v>
      </c>
      <c r="G140" s="10" t="str">
        <f t="shared" si="5"/>
        <v>PASS</v>
      </c>
      <c r="H140" s="1" t="s">
        <v>144</v>
      </c>
    </row>
    <row r="141" spans="2:8" x14ac:dyDescent="0.2">
      <c r="B141" s="10">
        <v>11</v>
      </c>
      <c r="C141" s="1" t="s">
        <v>145</v>
      </c>
      <c r="D141" s="10" t="str" cm="1">
        <f t="array" ref="D141">_xlfn.SWITCH($C$9,-1,"Neg",0,"Zero",1,"Pos")</f>
        <v>Neg</v>
      </c>
      <c r="E141" s="10" t="str">
        <f t="shared" si="4"/>
        <v>Neg</v>
      </c>
      <c r="F141" s="10" t="s">
        <v>146</v>
      </c>
      <c r="G141" s="10" t="str">
        <f t="shared" si="5"/>
        <v>PASS</v>
      </c>
      <c r="H141" s="1" t="s">
        <v>147</v>
      </c>
    </row>
    <row r="142" spans="2:8" x14ac:dyDescent="0.2">
      <c r="B142" s="10">
        <v>12</v>
      </c>
      <c r="C142" s="1" t="s">
        <v>148</v>
      </c>
      <c r="D142" s="10" t="str" cm="1">
        <f t="array" ref="D142">_xlfn.SWITCH($C$10,42.5,"Match",TRUE,"Other")</f>
        <v>Match</v>
      </c>
      <c r="E142" s="10" t="str">
        <f t="shared" si="4"/>
        <v>Match</v>
      </c>
      <c r="F142" s="10" t="s">
        <v>31</v>
      </c>
      <c r="G142" s="10" t="str">
        <f t="shared" si="5"/>
        <v>PASS</v>
      </c>
      <c r="H142" s="1" t="s">
        <v>149</v>
      </c>
    </row>
    <row r="143" spans="2:8" x14ac:dyDescent="0.2">
      <c r="B143" s="10">
        <v>13</v>
      </c>
      <c r="C143" s="1" t="s">
        <v>150</v>
      </c>
      <c r="D143" s="10" t="e" cm="1">
        <f t="array" ref="D143">_xlfn.SWITCH($C$13,1,"One",TRUE,"Default")</f>
        <v>#N/A</v>
      </c>
      <c r="E143" s="10" t="e">
        <f t="shared" si="4"/>
        <v>#N/A</v>
      </c>
      <c r="F143" s="10" t="e">
        <v>#N/A</v>
      </c>
      <c r="G143" s="10" t="str">
        <f t="shared" si="5"/>
        <v>PASS</v>
      </c>
      <c r="H143" s="1" t="s">
        <v>71</v>
      </c>
    </row>
    <row r="144" spans="2:8" x14ac:dyDescent="0.2">
      <c r="B144" s="10">
        <v>14</v>
      </c>
      <c r="C144" s="1" t="s">
        <v>151</v>
      </c>
      <c r="D144" s="10" cm="1">
        <f t="array" ref="D144">_xlfn.SWITCH(1,1,$C$7+$C$10,2,0)</f>
        <v>43.5</v>
      </c>
      <c r="E144" s="10">
        <f t="shared" si="4"/>
        <v>43.5</v>
      </c>
      <c r="F144" s="10">
        <v>43.5</v>
      </c>
      <c r="G144" s="10" t="str">
        <f t="shared" si="5"/>
        <v>PASS</v>
      </c>
      <c r="H144" s="1" t="s">
        <v>152</v>
      </c>
    </row>
    <row r="145" spans="2:13" x14ac:dyDescent="0.2">
      <c r="B145" s="10">
        <v>15</v>
      </c>
      <c r="C145" s="1" t="s">
        <v>153</v>
      </c>
      <c r="D145" s="10" t="str" cm="1">
        <f t="array" ref="D145">_xlfn.SWITCH(1,1,"First",1,"Second")</f>
        <v>First</v>
      </c>
      <c r="E145" s="10" t="str">
        <f t="shared" si="4"/>
        <v>First</v>
      </c>
      <c r="F145" s="10" t="s">
        <v>119</v>
      </c>
      <c r="G145" s="10" t="str">
        <f t="shared" si="5"/>
        <v>PASS</v>
      </c>
      <c r="H145" s="1" t="s">
        <v>154</v>
      </c>
    </row>
    <row r="146" spans="2:13" x14ac:dyDescent="0.2">
      <c r="B146" s="10">
        <v>16</v>
      </c>
      <c r="C146" s="1" t="s">
        <v>155</v>
      </c>
      <c r="D146" s="10" t="str" cm="1">
        <f t="array" ref="D146">_xlfn.SWITCH("","","Empty","X","Other")</f>
        <v>Empty</v>
      </c>
      <c r="E146" s="10" t="str">
        <f t="shared" si="4"/>
        <v>Empty</v>
      </c>
      <c r="F146" s="10" t="s">
        <v>156</v>
      </c>
      <c r="G146" s="10" t="str">
        <f t="shared" si="5"/>
        <v>PASS</v>
      </c>
      <c r="H146" s="1" t="s">
        <v>157</v>
      </c>
    </row>
    <row r="149" spans="2:13" x14ac:dyDescent="0.2">
      <c r="B149" s="3" t="s">
        <v>158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1" spans="2:13" x14ac:dyDescent="0.2">
      <c r="B151" s="9" t="s">
        <v>23</v>
      </c>
      <c r="C151" s="9" t="s">
        <v>24</v>
      </c>
      <c r="D151" s="9" t="s">
        <v>25</v>
      </c>
      <c r="E151" s="9" t="s">
        <v>26</v>
      </c>
      <c r="F151" s="9" t="s">
        <v>27</v>
      </c>
      <c r="G151" s="9" t="s">
        <v>38</v>
      </c>
      <c r="H151" s="9" t="s">
        <v>39</v>
      </c>
    </row>
    <row r="152" spans="2:13" x14ac:dyDescent="0.2">
      <c r="B152" s="10">
        <v>1</v>
      </c>
      <c r="C152" s="1" t="s">
        <v>159</v>
      </c>
      <c r="D152" s="10">
        <f>IFERROR(42,"Err")</f>
        <v>42</v>
      </c>
      <c r="E152" s="10">
        <f t="shared" ref="E152:E167" si="6">D152</f>
        <v>42</v>
      </c>
      <c r="F152" s="10">
        <v>42</v>
      </c>
      <c r="G152" s="10" t="str">
        <f t="shared" ref="G152:G167" si="7">IF(ISERROR(E152),IF(ISERROR(F152),"PASS","FAIL"),IF(TEXT(E152,"General")=TEXT(F152,"General"),"PASS","FAIL"))</f>
        <v>PASS</v>
      </c>
      <c r="H152" s="1" t="s">
        <v>160</v>
      </c>
    </row>
    <row r="153" spans="2:13" x14ac:dyDescent="0.2">
      <c r="B153" s="10">
        <v>2</v>
      </c>
      <c r="C153" s="1" t="s">
        <v>161</v>
      </c>
      <c r="D153" s="10" t="str">
        <f>IFERROR("OK","Err")</f>
        <v>OK</v>
      </c>
      <c r="E153" s="10" t="str">
        <f t="shared" si="6"/>
        <v>OK</v>
      </c>
      <c r="F153" s="10" t="s">
        <v>162</v>
      </c>
      <c r="G153" s="10" t="str">
        <f t="shared" si="7"/>
        <v>PASS</v>
      </c>
      <c r="H153" s="1" t="s">
        <v>163</v>
      </c>
    </row>
    <row r="154" spans="2:13" x14ac:dyDescent="0.2">
      <c r="B154" s="10">
        <v>3</v>
      </c>
      <c r="C154" s="1" t="s">
        <v>164</v>
      </c>
      <c r="D154" s="10">
        <f>IFERROR($C$7+$C$10,"Err")</f>
        <v>43.5</v>
      </c>
      <c r="E154" s="10">
        <f t="shared" si="6"/>
        <v>43.5</v>
      </c>
      <c r="F154" s="10">
        <v>43.5</v>
      </c>
      <c r="G154" s="10" t="str">
        <f t="shared" si="7"/>
        <v>PASS</v>
      </c>
      <c r="H154" s="1" t="s">
        <v>165</v>
      </c>
    </row>
    <row r="155" spans="2:13" x14ac:dyDescent="0.2">
      <c r="B155" s="10">
        <v>4</v>
      </c>
      <c r="C155" s="1" t="s">
        <v>166</v>
      </c>
      <c r="D155" s="10" t="b">
        <f>IFERROR(TRUE,"Err")</f>
        <v>1</v>
      </c>
      <c r="E155" s="10" t="b">
        <f t="shared" si="6"/>
        <v>1</v>
      </c>
      <c r="F155" s="10" t="b">
        <v>1</v>
      </c>
      <c r="G155" s="10" t="str">
        <f t="shared" si="7"/>
        <v>PASS</v>
      </c>
      <c r="H155" s="1" t="s">
        <v>167</v>
      </c>
    </row>
    <row r="156" spans="2:13" x14ac:dyDescent="0.2">
      <c r="B156" s="10">
        <v>5</v>
      </c>
      <c r="C156" s="1" t="s">
        <v>168</v>
      </c>
      <c r="D156" s="10" t="b">
        <f>IFERROR(FALSE,"Err")</f>
        <v>0</v>
      </c>
      <c r="E156" s="10" t="b">
        <f t="shared" si="6"/>
        <v>0</v>
      </c>
      <c r="F156" s="10" t="b">
        <v>0</v>
      </c>
      <c r="G156" s="10" t="str">
        <f t="shared" si="7"/>
        <v>PASS</v>
      </c>
      <c r="H156" s="1" t="s">
        <v>169</v>
      </c>
    </row>
    <row r="157" spans="2:13" x14ac:dyDescent="0.2">
      <c r="B157" s="10">
        <v>6</v>
      </c>
      <c r="C157" s="1" t="s">
        <v>170</v>
      </c>
      <c r="D157" s="10">
        <f>IFERROR(0,"Err")</f>
        <v>0</v>
      </c>
      <c r="E157" s="10">
        <f t="shared" si="6"/>
        <v>0</v>
      </c>
      <c r="F157" s="10">
        <v>0</v>
      </c>
      <c r="G157" s="10" t="str">
        <f t="shared" si="7"/>
        <v>PASS</v>
      </c>
      <c r="H157" s="1" t="s">
        <v>171</v>
      </c>
    </row>
    <row r="158" spans="2:13" x14ac:dyDescent="0.2">
      <c r="B158" s="10">
        <v>7</v>
      </c>
      <c r="C158" s="1" t="s">
        <v>172</v>
      </c>
      <c r="D158" s="10" t="str">
        <f>IFERROR(1/0,"DivErr")</f>
        <v>DivErr</v>
      </c>
      <c r="E158" s="10" t="str">
        <f t="shared" si="6"/>
        <v>DivErr</v>
      </c>
      <c r="F158" s="10" t="s">
        <v>173</v>
      </c>
      <c r="G158" s="10" t="str">
        <f t="shared" si="7"/>
        <v>PASS</v>
      </c>
      <c r="H158" s="1" t="s">
        <v>174</v>
      </c>
    </row>
    <row r="159" spans="2:13" x14ac:dyDescent="0.2">
      <c r="B159" s="10">
        <v>8</v>
      </c>
      <c r="C159" s="1" t="s">
        <v>175</v>
      </c>
      <c r="D159" s="10" t="str">
        <f>IFERROR($C$13,"NA_Err")</f>
        <v>NA_Err</v>
      </c>
      <c r="E159" s="10" t="str">
        <f t="shared" si="6"/>
        <v>NA_Err</v>
      </c>
      <c r="F159" s="10" t="s">
        <v>176</v>
      </c>
      <c r="G159" s="10" t="str">
        <f t="shared" si="7"/>
        <v>PASS</v>
      </c>
      <c r="H159" s="1" t="s">
        <v>175</v>
      </c>
    </row>
    <row r="160" spans="2:13" x14ac:dyDescent="0.2">
      <c r="B160" s="10">
        <v>9</v>
      </c>
      <c r="C160" s="1" t="s">
        <v>177</v>
      </c>
      <c r="D160" s="10" t="str">
        <f>IFERROR($C$14,"Val_Err")</f>
        <v>Val_Err</v>
      </c>
      <c r="E160" s="10" t="str">
        <f t="shared" si="6"/>
        <v>Val_Err</v>
      </c>
      <c r="F160" s="10" t="s">
        <v>178</v>
      </c>
      <c r="G160" s="10" t="str">
        <f t="shared" si="7"/>
        <v>PASS</v>
      </c>
      <c r="H160" s="1" t="s">
        <v>177</v>
      </c>
    </row>
    <row r="161" spans="2:13" x14ac:dyDescent="0.2">
      <c r="B161" s="10">
        <v>10</v>
      </c>
      <c r="C161" s="1" t="s">
        <v>179</v>
      </c>
      <c r="D161" s="10" t="str">
        <f>IFERROR($C$15,"Div_Err")</f>
        <v>Div_Err</v>
      </c>
      <c r="E161" s="10" t="str">
        <f t="shared" si="6"/>
        <v>Div_Err</v>
      </c>
      <c r="F161" s="10" t="s">
        <v>180</v>
      </c>
      <c r="G161" s="10" t="str">
        <f t="shared" si="7"/>
        <v>PASS</v>
      </c>
      <c r="H161" s="1" t="s">
        <v>172</v>
      </c>
    </row>
    <row r="162" spans="2:13" x14ac:dyDescent="0.2">
      <c r="B162" s="10">
        <v>11</v>
      </c>
      <c r="C162" s="1" t="s">
        <v>181</v>
      </c>
      <c r="D162" s="10">
        <f>IFERROR(1/0,0)</f>
        <v>0</v>
      </c>
      <c r="E162" s="10">
        <f t="shared" si="6"/>
        <v>0</v>
      </c>
      <c r="F162" s="10">
        <v>0</v>
      </c>
      <c r="G162" s="10" t="str">
        <f t="shared" si="7"/>
        <v>PASS</v>
      </c>
      <c r="H162" s="1" t="s">
        <v>182</v>
      </c>
    </row>
    <row r="163" spans="2:13" x14ac:dyDescent="0.2">
      <c r="B163" s="10">
        <v>12</v>
      </c>
      <c r="C163" s="1" t="s">
        <v>183</v>
      </c>
      <c r="D163" s="10" t="str">
        <f>IFERROR(1/0,"")</f>
        <v/>
      </c>
      <c r="E163" s="10" t="str">
        <f t="shared" si="6"/>
        <v/>
      </c>
      <c r="F163" s="10"/>
      <c r="G163" s="10" t="str">
        <f t="shared" si="7"/>
        <v>FAIL</v>
      </c>
      <c r="H163" s="1" t="s">
        <v>184</v>
      </c>
    </row>
    <row r="164" spans="2:13" x14ac:dyDescent="0.2">
      <c r="B164" s="10">
        <v>13</v>
      </c>
      <c r="C164" s="1" t="s">
        <v>185</v>
      </c>
      <c r="D164" s="10">
        <f>IFERROR($C$13,$C$7*100)</f>
        <v>100</v>
      </c>
      <c r="E164" s="10">
        <f t="shared" si="6"/>
        <v>100</v>
      </c>
      <c r="F164" s="10">
        <v>100</v>
      </c>
      <c r="G164" s="10" t="str">
        <f t="shared" si="7"/>
        <v>PASS</v>
      </c>
      <c r="H164" s="1" t="s">
        <v>186</v>
      </c>
    </row>
    <row r="165" spans="2:13" x14ac:dyDescent="0.2">
      <c r="B165" s="10">
        <v>14</v>
      </c>
      <c r="C165" s="1" t="s">
        <v>187</v>
      </c>
      <c r="D165" s="10" t="str">
        <f>IFERROR($C$13,IFERROR($C$14,"Both bad"))</f>
        <v>Both bad</v>
      </c>
      <c r="E165" s="10" t="str">
        <f t="shared" si="6"/>
        <v>Both bad</v>
      </c>
      <c r="F165" s="10" t="s">
        <v>188</v>
      </c>
      <c r="G165" s="10" t="str">
        <f t="shared" si="7"/>
        <v>PASS</v>
      </c>
      <c r="H165" s="1" t="s">
        <v>189</v>
      </c>
    </row>
    <row r="166" spans="2:13" x14ac:dyDescent="0.2">
      <c r="B166" s="10">
        <v>15</v>
      </c>
      <c r="C166" s="1" t="s">
        <v>190</v>
      </c>
      <c r="D166" s="10" t="str">
        <f>IFERROR(VLOOKUP("x",$B$5:$C$15,2,FALSE),"Not found")</f>
        <v>Not found</v>
      </c>
      <c r="E166" s="10" t="str">
        <f t="shared" si="6"/>
        <v>Not found</v>
      </c>
      <c r="F166" s="10" t="s">
        <v>191</v>
      </c>
      <c r="G166" s="10" t="str">
        <f t="shared" si="7"/>
        <v>PASS</v>
      </c>
      <c r="H166" s="1" t="s">
        <v>192</v>
      </c>
    </row>
    <row r="167" spans="2:13" x14ac:dyDescent="0.2">
      <c r="B167" s="10">
        <v>16</v>
      </c>
      <c r="C167" s="1" t="s">
        <v>193</v>
      </c>
      <c r="D167" s="10">
        <f>IFERROR($D$5,"Err")</f>
        <v>0</v>
      </c>
      <c r="E167" s="10">
        <f t="shared" si="6"/>
        <v>0</v>
      </c>
      <c r="F167" s="10">
        <v>0</v>
      </c>
      <c r="G167" s="10" t="str">
        <f t="shared" si="7"/>
        <v>PASS</v>
      </c>
      <c r="H167" s="1" t="s">
        <v>194</v>
      </c>
    </row>
    <row r="170" spans="2:13" x14ac:dyDescent="0.2">
      <c r="B170" s="3" t="s">
        <v>195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2" spans="2:13" x14ac:dyDescent="0.2">
      <c r="B172" s="9" t="s">
        <v>23</v>
      </c>
      <c r="C172" s="9" t="s">
        <v>24</v>
      </c>
      <c r="D172" s="9" t="s">
        <v>25</v>
      </c>
      <c r="E172" s="9" t="s">
        <v>26</v>
      </c>
      <c r="F172" s="9" t="s">
        <v>27</v>
      </c>
      <c r="G172" s="9" t="s">
        <v>38</v>
      </c>
      <c r="H172" s="9" t="s">
        <v>39</v>
      </c>
    </row>
    <row r="173" spans="2:13" x14ac:dyDescent="0.2">
      <c r="B173" s="10">
        <v>1</v>
      </c>
      <c r="C173" s="1" t="s">
        <v>159</v>
      </c>
      <c r="D173" s="10">
        <f>_xlfn.IFNA(42,"NA")</f>
        <v>42</v>
      </c>
      <c r="E173" s="10">
        <f t="shared" ref="E173:E186" si="8">D173</f>
        <v>42</v>
      </c>
      <c r="F173" s="10">
        <v>42</v>
      </c>
      <c r="G173" s="10" t="str">
        <f t="shared" ref="G173:G186" si="9">IF(ISERROR(E173),IF(ISERROR(F173),"PASS","FAIL"),IF(TEXT(E173,"General")=TEXT(F173,"General"),"PASS","FAIL"))</f>
        <v>PASS</v>
      </c>
      <c r="H173" s="1" t="s">
        <v>196</v>
      </c>
    </row>
    <row r="174" spans="2:13" x14ac:dyDescent="0.2">
      <c r="B174" s="10">
        <v>2</v>
      </c>
      <c r="C174" s="1" t="s">
        <v>161</v>
      </c>
      <c r="D174" s="10" t="str">
        <f>_xlfn.IFNA("OK","NA")</f>
        <v>OK</v>
      </c>
      <c r="E174" s="10" t="str">
        <f t="shared" si="8"/>
        <v>OK</v>
      </c>
      <c r="F174" s="10" t="s">
        <v>162</v>
      </c>
      <c r="G174" s="10" t="str">
        <f t="shared" si="9"/>
        <v>PASS</v>
      </c>
      <c r="H174" s="1" t="s">
        <v>163</v>
      </c>
    </row>
    <row r="175" spans="2:13" x14ac:dyDescent="0.2">
      <c r="B175" s="10">
        <v>3</v>
      </c>
      <c r="C175" s="1" t="s">
        <v>175</v>
      </c>
      <c r="D175" s="10" t="str">
        <f>_xlfn.IFNA($C$13,"Caught")</f>
        <v>Caught</v>
      </c>
      <c r="E175" s="10" t="str">
        <f t="shared" si="8"/>
        <v>Caught</v>
      </c>
      <c r="F175" s="10" t="s">
        <v>197</v>
      </c>
      <c r="G175" s="10" t="str">
        <f t="shared" si="9"/>
        <v>PASS</v>
      </c>
      <c r="H175" s="1" t="s">
        <v>198</v>
      </c>
    </row>
    <row r="176" spans="2:13" x14ac:dyDescent="0.2">
      <c r="B176" s="10">
        <v>4</v>
      </c>
      <c r="C176" s="1" t="s">
        <v>199</v>
      </c>
      <c r="D176" s="10" t="str">
        <f>_xlfn.IFNA(NA(),"Caught")</f>
        <v>Caught</v>
      </c>
      <c r="E176" s="10" t="str">
        <f t="shared" si="8"/>
        <v>Caught</v>
      </c>
      <c r="F176" s="10" t="s">
        <v>197</v>
      </c>
      <c r="G176" s="10" t="str">
        <f t="shared" si="9"/>
        <v>PASS</v>
      </c>
      <c r="H176" s="1" t="s">
        <v>200</v>
      </c>
    </row>
    <row r="177" spans="2:13" x14ac:dyDescent="0.2">
      <c r="B177" s="10">
        <v>5</v>
      </c>
      <c r="C177" s="1" t="s">
        <v>201</v>
      </c>
      <c r="D177" s="10" t="e">
        <f>_xlfn.IFNA($C$14,"NA")</f>
        <v>#VALUE!</v>
      </c>
      <c r="E177" s="10" t="e">
        <f t="shared" si="8"/>
        <v>#VALUE!</v>
      </c>
      <c r="F177" s="10" t="e">
        <v>#VALUE!</v>
      </c>
      <c r="G177" s="10" t="str">
        <f t="shared" si="9"/>
        <v>PASS</v>
      </c>
      <c r="H177" s="1" t="s">
        <v>202</v>
      </c>
    </row>
    <row r="178" spans="2:13" x14ac:dyDescent="0.2">
      <c r="B178" s="10">
        <v>6</v>
      </c>
      <c r="C178" s="1" t="s">
        <v>203</v>
      </c>
      <c r="D178" s="10" t="e">
        <f>_xlfn.IFNA($C$15,"NA")</f>
        <v>#DIV/0!</v>
      </c>
      <c r="E178" s="10" t="e">
        <f t="shared" si="8"/>
        <v>#DIV/0!</v>
      </c>
      <c r="F178" s="10" t="e">
        <v>#DIV/0!</v>
      </c>
      <c r="G178" s="10" t="str">
        <f t="shared" si="9"/>
        <v>PASS</v>
      </c>
      <c r="H178" s="1" t="s">
        <v>202</v>
      </c>
    </row>
    <row r="179" spans="2:13" x14ac:dyDescent="0.2">
      <c r="B179" s="10">
        <v>7</v>
      </c>
      <c r="C179" s="1" t="s">
        <v>204</v>
      </c>
      <c r="D179" s="10" t="e">
        <f>_xlfn.IFNA(1/0,"NA")</f>
        <v>#DIV/0!</v>
      </c>
      <c r="E179" s="10" t="e">
        <f t="shared" si="8"/>
        <v>#DIV/0!</v>
      </c>
      <c r="F179" s="10" t="e">
        <v>#DIV/0!</v>
      </c>
      <c r="G179" s="10" t="str">
        <f t="shared" si="9"/>
        <v>PASS</v>
      </c>
      <c r="H179" s="1" t="s">
        <v>205</v>
      </c>
    </row>
    <row r="180" spans="2:13" x14ac:dyDescent="0.2">
      <c r="B180" s="10">
        <v>8</v>
      </c>
      <c r="C180" s="1" t="s">
        <v>206</v>
      </c>
      <c r="D180" s="10" t="str">
        <f>_xlfn.IFNA(VLOOKUP("x",$B$5:$C$15,2,FALSE),"Missing")</f>
        <v>Missing</v>
      </c>
      <c r="E180" s="10" t="str">
        <f t="shared" si="8"/>
        <v>Missing</v>
      </c>
      <c r="F180" s="10" t="s">
        <v>207</v>
      </c>
      <c r="G180" s="10" t="str">
        <f t="shared" si="9"/>
        <v>PASS</v>
      </c>
      <c r="H180" s="1" t="s">
        <v>208</v>
      </c>
    </row>
    <row r="181" spans="2:13" x14ac:dyDescent="0.2">
      <c r="B181" s="10">
        <v>9</v>
      </c>
      <c r="C181" s="1" t="s">
        <v>209</v>
      </c>
      <c r="D181" s="10" t="str">
        <f>_xlfn.IFNA(MATCH("x",$B$5:$B$15,0),"No match")</f>
        <v>No match</v>
      </c>
      <c r="E181" s="10" t="str">
        <f t="shared" si="8"/>
        <v>No match</v>
      </c>
      <c r="F181" s="10" t="s">
        <v>210</v>
      </c>
      <c r="G181" s="10" t="str">
        <f t="shared" si="9"/>
        <v>PASS</v>
      </c>
      <c r="H181" s="1" t="s">
        <v>211</v>
      </c>
    </row>
    <row r="182" spans="2:13" x14ac:dyDescent="0.2">
      <c r="B182" s="10">
        <v>10</v>
      </c>
      <c r="C182" s="1" t="s">
        <v>212</v>
      </c>
      <c r="D182" s="10">
        <f>_xlfn.IFNA($C$13,$C$7+$C$10)</f>
        <v>43.5</v>
      </c>
      <c r="E182" s="10">
        <f t="shared" si="8"/>
        <v>43.5</v>
      </c>
      <c r="F182" s="10">
        <v>43.5</v>
      </c>
      <c r="G182" s="10" t="str">
        <f t="shared" si="9"/>
        <v>PASS</v>
      </c>
      <c r="H182" s="1" t="s">
        <v>213</v>
      </c>
    </row>
    <row r="183" spans="2:13" x14ac:dyDescent="0.2">
      <c r="B183" s="10">
        <v>11</v>
      </c>
      <c r="C183" s="1" t="s">
        <v>214</v>
      </c>
      <c r="D183" s="10">
        <f>_xlfn.IFNA(NA(),0)</f>
        <v>0</v>
      </c>
      <c r="E183" s="10">
        <f t="shared" si="8"/>
        <v>0</v>
      </c>
      <c r="F183" s="10">
        <v>0</v>
      </c>
      <c r="G183" s="10" t="str">
        <f t="shared" si="9"/>
        <v>PASS</v>
      </c>
      <c r="H183" s="1" t="s">
        <v>182</v>
      </c>
    </row>
    <row r="184" spans="2:13" x14ac:dyDescent="0.2">
      <c r="B184" s="10">
        <v>12</v>
      </c>
      <c r="C184" s="1" t="s">
        <v>168</v>
      </c>
      <c r="D184" s="10" t="b">
        <f>_xlfn.IFNA(FALSE,"NA")</f>
        <v>0</v>
      </c>
      <c r="E184" s="10" t="b">
        <f t="shared" si="8"/>
        <v>0</v>
      </c>
      <c r="F184" s="10" t="b">
        <v>0</v>
      </c>
      <c r="G184" s="10" t="str">
        <f t="shared" si="9"/>
        <v>PASS</v>
      </c>
      <c r="H184" s="1" t="s">
        <v>215</v>
      </c>
    </row>
    <row r="185" spans="2:13" x14ac:dyDescent="0.2">
      <c r="B185" s="10">
        <v>13</v>
      </c>
      <c r="C185" s="1" t="s">
        <v>170</v>
      </c>
      <c r="D185" s="10">
        <f>_xlfn.IFNA(0,"NA")</f>
        <v>0</v>
      </c>
      <c r="E185" s="10">
        <f t="shared" si="8"/>
        <v>0</v>
      </c>
      <c r="F185" s="10">
        <v>0</v>
      </c>
      <c r="G185" s="10" t="str">
        <f t="shared" si="9"/>
        <v>PASS</v>
      </c>
      <c r="H185" s="1" t="s">
        <v>216</v>
      </c>
    </row>
    <row r="186" spans="2:13" x14ac:dyDescent="0.2">
      <c r="B186" s="10">
        <v>14</v>
      </c>
      <c r="C186" s="1" t="s">
        <v>217</v>
      </c>
      <c r="D186" s="10" t="str">
        <f>_xlfn.IFNA(_xlfn.IFNA($C$13,$C$13),"Final")</f>
        <v>Final</v>
      </c>
      <c r="E186" s="10" t="str">
        <f t="shared" si="8"/>
        <v>Final</v>
      </c>
      <c r="F186" s="10" t="s">
        <v>218</v>
      </c>
      <c r="G186" s="10" t="str">
        <f t="shared" si="9"/>
        <v>PASS</v>
      </c>
      <c r="H186" s="1" t="s">
        <v>219</v>
      </c>
    </row>
    <row r="189" spans="2:13" x14ac:dyDescent="0.2">
      <c r="B189" s="3" t="s">
        <v>220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1" spans="2:13" x14ac:dyDescent="0.2">
      <c r="B191" s="9" t="s">
        <v>23</v>
      </c>
      <c r="C191" s="9" t="s">
        <v>24</v>
      </c>
      <c r="D191" s="9" t="s">
        <v>25</v>
      </c>
      <c r="E191" s="9" t="s">
        <v>26</v>
      </c>
      <c r="F191" s="9" t="s">
        <v>27</v>
      </c>
      <c r="G191" s="9" t="s">
        <v>38</v>
      </c>
      <c r="H191" s="9" t="s">
        <v>39</v>
      </c>
    </row>
    <row r="192" spans="2:13" x14ac:dyDescent="0.2">
      <c r="B192" s="10">
        <v>1</v>
      </c>
      <c r="C192" s="1" t="s">
        <v>221</v>
      </c>
      <c r="D192" s="10">
        <f>_xlfn.LET(_xlpm.x,10,_xlpm.x*2)</f>
        <v>20</v>
      </c>
      <c r="E192" s="10">
        <f t="shared" ref="E192:E206" si="10">D192</f>
        <v>20</v>
      </c>
      <c r="F192" s="10">
        <v>20</v>
      </c>
      <c r="G192" s="10" t="str">
        <f t="shared" ref="G192:G206" si="11">IF(ISERROR(E192),IF(ISERROR(F192),"PASS","FAIL"),IF(TEXT(E192,"General")=TEXT(F192,"General"),"PASS","FAIL"))</f>
        <v>PASS</v>
      </c>
      <c r="H192" s="1" t="s">
        <v>222</v>
      </c>
    </row>
    <row r="193" spans="2:8" x14ac:dyDescent="0.2">
      <c r="B193" s="10">
        <v>2</v>
      </c>
      <c r="C193" s="1" t="s">
        <v>223</v>
      </c>
      <c r="D193" s="10">
        <f>_xlfn.LET(_xlpm.x,5,_xlpm.y,3,_xlpm.x+_xlpm.y)</f>
        <v>8</v>
      </c>
      <c r="E193" s="10">
        <f t="shared" si="10"/>
        <v>8</v>
      </c>
      <c r="F193" s="10">
        <v>8</v>
      </c>
      <c r="G193" s="10" t="str">
        <f t="shared" si="11"/>
        <v>PASS</v>
      </c>
      <c r="H193" s="1" t="s">
        <v>224</v>
      </c>
    </row>
    <row r="194" spans="2:8" x14ac:dyDescent="0.2">
      <c r="B194" s="10">
        <v>3</v>
      </c>
      <c r="C194" s="1" t="s">
        <v>225</v>
      </c>
      <c r="D194" s="10">
        <f>_xlfn.LET(_xlpm.a,2,_xlpm.b,3,_xlpm.c,4,_xlpm.a*_xlpm.b*_xlpm.c)</f>
        <v>24</v>
      </c>
      <c r="E194" s="10">
        <f t="shared" si="10"/>
        <v>24</v>
      </c>
      <c r="F194" s="10">
        <v>24</v>
      </c>
      <c r="G194" s="10" t="str">
        <f t="shared" si="11"/>
        <v>PASS</v>
      </c>
      <c r="H194" s="1" t="s">
        <v>226</v>
      </c>
    </row>
    <row r="195" spans="2:8" x14ac:dyDescent="0.2">
      <c r="B195" s="10">
        <v>4</v>
      </c>
      <c r="C195" s="1" t="s">
        <v>227</v>
      </c>
      <c r="D195" s="10">
        <f>_xlfn.LET(_xlpm.x,10,_xlpm.x+_xlpm.x+_xlpm.x)</f>
        <v>30</v>
      </c>
      <c r="E195" s="10">
        <f t="shared" si="10"/>
        <v>30</v>
      </c>
      <c r="F195" s="10">
        <v>30</v>
      </c>
      <c r="G195" s="10" t="str">
        <f t="shared" si="11"/>
        <v>PASS</v>
      </c>
      <c r="H195" s="1" t="s">
        <v>228</v>
      </c>
    </row>
    <row r="196" spans="2:8" x14ac:dyDescent="0.2">
      <c r="B196" s="10">
        <v>5</v>
      </c>
      <c r="C196" s="1" t="s">
        <v>229</v>
      </c>
      <c r="D196" s="10">
        <f>_xlfn.LET(_xlpm.x,5,_xlpm.y,_xlpm.x*2,_xlpm.y+1)</f>
        <v>11</v>
      </c>
      <c r="E196" s="10">
        <f t="shared" si="10"/>
        <v>11</v>
      </c>
      <c r="F196" s="10">
        <v>11</v>
      </c>
      <c r="G196" s="10" t="str">
        <f t="shared" si="11"/>
        <v>PASS</v>
      </c>
      <c r="H196" s="1" t="s">
        <v>230</v>
      </c>
    </row>
    <row r="197" spans="2:8" x14ac:dyDescent="0.2">
      <c r="B197" s="10">
        <v>6</v>
      </c>
      <c r="C197" s="1" t="s">
        <v>231</v>
      </c>
      <c r="D197" s="10">
        <f>_xlfn.LET(_xlpm.val,$C$7,_xlpm.val*100)</f>
        <v>100</v>
      </c>
      <c r="E197" s="10">
        <f t="shared" si="10"/>
        <v>100</v>
      </c>
      <c r="F197" s="10">
        <v>100</v>
      </c>
      <c r="G197" s="10" t="str">
        <f t="shared" si="11"/>
        <v>PASS</v>
      </c>
      <c r="H197" s="1" t="s">
        <v>232</v>
      </c>
    </row>
    <row r="198" spans="2:8" x14ac:dyDescent="0.2">
      <c r="B198" s="10">
        <v>7</v>
      </c>
      <c r="C198" s="1" t="s">
        <v>233</v>
      </c>
      <c r="D198" s="10">
        <f>_xlfn.LET(_xlpm.s,SUM($C$7,$C$10),_xlpm.s/2)</f>
        <v>21.75</v>
      </c>
      <c r="E198" s="10">
        <f t="shared" si="10"/>
        <v>21.75</v>
      </c>
      <c r="F198" s="10">
        <v>21.75</v>
      </c>
      <c r="G198" s="10" t="str">
        <f t="shared" si="11"/>
        <v>PASS</v>
      </c>
      <c r="H198" s="1" t="s">
        <v>234</v>
      </c>
    </row>
    <row r="199" spans="2:8" x14ac:dyDescent="0.2">
      <c r="B199" s="10">
        <v>8</v>
      </c>
      <c r="C199" s="1" t="s">
        <v>235</v>
      </c>
      <c r="D199" s="10" t="str">
        <f>_xlfn.LET(_xlpm.name,"World","Hello "&amp;_xlpm.name)</f>
        <v>Hello World</v>
      </c>
      <c r="E199" s="10" t="str">
        <f t="shared" si="10"/>
        <v>Hello World</v>
      </c>
      <c r="F199" s="10" t="s">
        <v>236</v>
      </c>
      <c r="G199" s="10" t="str">
        <f t="shared" si="11"/>
        <v>PASS</v>
      </c>
      <c r="H199" s="1" t="s">
        <v>237</v>
      </c>
    </row>
    <row r="200" spans="2:8" x14ac:dyDescent="0.2">
      <c r="B200" s="10">
        <v>9</v>
      </c>
      <c r="C200" s="1" t="s">
        <v>238</v>
      </c>
      <c r="D200" s="10" t="str">
        <f>_xlfn.LET(_xlpm.flag,TRUE,IF(_xlpm.flag,"On","Off"))</f>
        <v>On</v>
      </c>
      <c r="E200" s="10" t="str">
        <f t="shared" si="10"/>
        <v>On</v>
      </c>
      <c r="F200" s="10" t="s">
        <v>239</v>
      </c>
      <c r="G200" s="10" t="str">
        <f t="shared" si="11"/>
        <v>PASS</v>
      </c>
      <c r="H200" s="1" t="s">
        <v>240</v>
      </c>
    </row>
    <row r="201" spans="2:8" x14ac:dyDescent="0.2">
      <c r="B201" s="10">
        <v>10</v>
      </c>
      <c r="C201" s="1" t="s">
        <v>241</v>
      </c>
      <c r="D201" s="10">
        <f>_xlfn.LET(_xlpm.x,5,_xlfn.LET(_xlpm.y,_xlpm.x+1,_xlpm.y*2))</f>
        <v>12</v>
      </c>
      <c r="E201" s="10">
        <f t="shared" si="10"/>
        <v>12</v>
      </c>
      <c r="F201" s="10">
        <v>12</v>
      </c>
      <c r="G201" s="10" t="str">
        <f t="shared" si="11"/>
        <v>PASS</v>
      </c>
      <c r="H201" s="1" t="s">
        <v>242</v>
      </c>
    </row>
    <row r="202" spans="2:8" x14ac:dyDescent="0.2">
      <c r="B202" s="10">
        <v>11</v>
      </c>
      <c r="C202" s="1" t="s">
        <v>243</v>
      </c>
      <c r="D202" s="10">
        <f>_xlfn.LET(_xlpm.base,$C$10,_xlpm.rate,0.1,_xlpm.tax,_xlpm.base*_xlpm.rate,_xlpm.base+_xlpm.tax)</f>
        <v>46.75</v>
      </c>
      <c r="E202" s="10">
        <f t="shared" si="10"/>
        <v>46.75</v>
      </c>
      <c r="F202" s="10">
        <v>46.75</v>
      </c>
      <c r="G202" s="10" t="str">
        <f t="shared" si="11"/>
        <v>PASS</v>
      </c>
      <c r="H202" s="1" t="s">
        <v>244</v>
      </c>
    </row>
    <row r="203" spans="2:8" x14ac:dyDescent="0.2">
      <c r="B203" s="10">
        <v>12</v>
      </c>
      <c r="C203" s="1" t="s">
        <v>245</v>
      </c>
      <c r="D203" s="10" t="b">
        <f>_xlfn.LET(_xlpm.a,TRUE,_xlpm.b,FALSE,AND(_xlpm.a,NOT(_xlpm.b)))</f>
        <v>1</v>
      </c>
      <c r="E203" s="10" t="b">
        <f t="shared" si="10"/>
        <v>1</v>
      </c>
      <c r="F203" s="10" t="b">
        <v>1</v>
      </c>
      <c r="G203" s="10" t="str">
        <f t="shared" si="11"/>
        <v>PASS</v>
      </c>
      <c r="H203" s="1" t="s">
        <v>246</v>
      </c>
    </row>
    <row r="204" spans="2:8" x14ac:dyDescent="0.2">
      <c r="B204" s="10">
        <v>13</v>
      </c>
      <c r="C204" s="1" t="s">
        <v>247</v>
      </c>
      <c r="D204" s="10" t="str">
        <f>_xlfn.LET(_xlpm.v,$C$13,IFERROR(_xlpm.v,"Safe"))</f>
        <v>Safe</v>
      </c>
      <c r="E204" s="10" t="str">
        <f t="shared" si="10"/>
        <v>Safe</v>
      </c>
      <c r="F204" s="10" t="s">
        <v>248</v>
      </c>
      <c r="G204" s="10" t="str">
        <f t="shared" si="11"/>
        <v>PASS</v>
      </c>
      <c r="H204" s="1" t="s">
        <v>249</v>
      </c>
    </row>
    <row r="205" spans="2:8" x14ac:dyDescent="0.2">
      <c r="B205" s="10">
        <v>14</v>
      </c>
      <c r="C205" s="1" t="s">
        <v>250</v>
      </c>
      <c r="D205" s="10" t="str">
        <f>_xlfn.LET(_xlpm.x,0,IF(_xlpm.x,"Yes","No"))</f>
        <v>No</v>
      </c>
      <c r="E205" s="10" t="str">
        <f t="shared" si="10"/>
        <v>No</v>
      </c>
      <c r="F205" s="10" t="s">
        <v>29</v>
      </c>
      <c r="G205" s="10" t="str">
        <f t="shared" si="11"/>
        <v>PASS</v>
      </c>
      <c r="H205" s="1" t="s">
        <v>251</v>
      </c>
    </row>
    <row r="206" spans="2:8" x14ac:dyDescent="0.2">
      <c r="B206" s="10">
        <v>15</v>
      </c>
      <c r="C206" s="1" t="s">
        <v>252</v>
      </c>
      <c r="D206" s="10">
        <f>_xlfn.LET(_xlpm.rng,$C$7:$C$10,SUM(_xlpm.rng))</f>
        <v>42.5</v>
      </c>
      <c r="E206" s="10">
        <f t="shared" si="10"/>
        <v>42.5</v>
      </c>
      <c r="F206" s="10">
        <v>43.5</v>
      </c>
      <c r="G206" s="10" t="str">
        <f t="shared" si="11"/>
        <v>FAIL</v>
      </c>
      <c r="H206" s="1" t="s">
        <v>253</v>
      </c>
    </row>
    <row r="209" spans="2:13" x14ac:dyDescent="0.2">
      <c r="B209" s="3" t="s">
        <v>254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1" spans="2:13" x14ac:dyDescent="0.2">
      <c r="B211" s="9" t="s">
        <v>23</v>
      </c>
      <c r="C211" s="9" t="s">
        <v>24</v>
      </c>
      <c r="D211" s="9" t="s">
        <v>25</v>
      </c>
      <c r="E211" s="9" t="s">
        <v>26</v>
      </c>
      <c r="F211" s="9" t="s">
        <v>27</v>
      </c>
      <c r="G211" s="9" t="s">
        <v>38</v>
      </c>
      <c r="H211" s="9" t="s">
        <v>39</v>
      </c>
    </row>
    <row r="212" spans="2:13" x14ac:dyDescent="0.2">
      <c r="B212" s="10">
        <v>1</v>
      </c>
      <c r="C212" s="1" t="s">
        <v>255</v>
      </c>
      <c r="D212" s="10" cm="1">
        <f t="array" ref="D212">_xlfn.LAMBDA(_xlpm.x,_xlpm.x*2)(5)</f>
        <v>10</v>
      </c>
      <c r="E212" s="10">
        <f t="shared" ref="E212:E226" si="12">D212</f>
        <v>10</v>
      </c>
      <c r="F212" s="10">
        <v>10</v>
      </c>
      <c r="G212" s="10" t="str">
        <f t="shared" ref="G212:G226" si="13">IF(ISERROR(E212),IF(ISERROR(F212),"PASS","FAIL"),IF(TEXT(E212,"General")=TEXT(F212,"General"),"PASS","FAIL"))</f>
        <v>PASS</v>
      </c>
      <c r="H212" s="1" t="s">
        <v>256</v>
      </c>
    </row>
    <row r="213" spans="2:13" x14ac:dyDescent="0.2">
      <c r="B213" s="10">
        <v>2</v>
      </c>
      <c r="C213" s="1" t="s">
        <v>257</v>
      </c>
      <c r="D213" s="10" cm="1">
        <f t="array" ref="D213">_xlfn.LAMBDA(_xlpm.x,_xlpm.y,_xlpm.x+_xlpm.y)(3,7)</f>
        <v>10</v>
      </c>
      <c r="E213" s="10">
        <f t="shared" si="12"/>
        <v>10</v>
      </c>
      <c r="F213" s="10">
        <v>10</v>
      </c>
      <c r="G213" s="10" t="str">
        <f t="shared" si="13"/>
        <v>PASS</v>
      </c>
      <c r="H213" s="1" t="s">
        <v>258</v>
      </c>
    </row>
    <row r="214" spans="2:13" x14ac:dyDescent="0.2">
      <c r="B214" s="10">
        <v>3</v>
      </c>
      <c r="C214" s="1" t="s">
        <v>259</v>
      </c>
      <c r="D214" s="10" cm="1">
        <f t="array" ref="D214">_xlfn.LAMBDA(_xlpm.a,_xlpm.b,_xlpm.c,_xlpm.a*_xlpm.b+_xlpm.c)(2,3,4)</f>
        <v>10</v>
      </c>
      <c r="E214" s="10">
        <f t="shared" si="12"/>
        <v>10</v>
      </c>
      <c r="F214" s="10">
        <v>10</v>
      </c>
      <c r="G214" s="10" t="str">
        <f t="shared" si="13"/>
        <v>PASS</v>
      </c>
      <c r="H214" s="1" t="s">
        <v>260</v>
      </c>
    </row>
    <row r="215" spans="2:13" x14ac:dyDescent="0.2">
      <c r="B215" s="10">
        <v>4</v>
      </c>
      <c r="C215" s="1" t="s">
        <v>261</v>
      </c>
      <c r="D215" s="10" t="str" cm="1">
        <f t="array" ref="D215">_xlfn.LAMBDA(_xlpm.name,"Hi "&amp;_xlpm.name)("World")</f>
        <v>Hi World</v>
      </c>
      <c r="E215" s="10" t="str">
        <f t="shared" si="12"/>
        <v>Hi World</v>
      </c>
      <c r="F215" s="10" t="s">
        <v>262</v>
      </c>
      <c r="G215" s="10" t="str">
        <f t="shared" si="13"/>
        <v>PASS</v>
      </c>
      <c r="H215" s="1" t="s">
        <v>263</v>
      </c>
    </row>
    <row r="216" spans="2:13" x14ac:dyDescent="0.2">
      <c r="B216" s="10">
        <v>5</v>
      </c>
      <c r="C216" s="1" t="s">
        <v>264</v>
      </c>
      <c r="D216" s="10" t="b" cm="1">
        <f t="array" ref="D216">_xlfn.LAMBDA(_xlpm.a,_xlpm.b,AND(_xlpm.a,_xlpm.b))(TRUE,FALSE)</f>
        <v>0</v>
      </c>
      <c r="E216" s="10" t="b">
        <f t="shared" si="12"/>
        <v>0</v>
      </c>
      <c r="F216" s="10" t="b">
        <v>0</v>
      </c>
      <c r="G216" s="10" t="str">
        <f t="shared" si="13"/>
        <v>PASS</v>
      </c>
      <c r="H216" s="1" t="s">
        <v>265</v>
      </c>
    </row>
    <row r="217" spans="2:13" x14ac:dyDescent="0.2">
      <c r="B217" s="10">
        <v>6</v>
      </c>
      <c r="C217" s="1" t="s">
        <v>266</v>
      </c>
      <c r="D217" s="10" t="str" cm="1">
        <f t="array" ref="D217">_xlfn.LAMBDA(_xlpm.x,IF(_xlpm.x&gt;0,"Pos","NonPos"))(42)</f>
        <v>Pos</v>
      </c>
      <c r="E217" s="10" t="str">
        <f t="shared" si="12"/>
        <v>Pos</v>
      </c>
      <c r="F217" s="10" t="s">
        <v>30</v>
      </c>
      <c r="G217" s="10" t="str">
        <f t="shared" si="13"/>
        <v>PASS</v>
      </c>
      <c r="H217" s="1" t="s">
        <v>267</v>
      </c>
    </row>
    <row r="218" spans="2:13" x14ac:dyDescent="0.2">
      <c r="B218" s="10">
        <v>7</v>
      </c>
      <c r="C218" s="1" t="s">
        <v>268</v>
      </c>
      <c r="D218" s="10" cm="1">
        <f t="array" ref="D218">_xlfn.LAMBDA(_xlpm.x,_xlpm.x*2)($C$10)</f>
        <v>85</v>
      </c>
      <c r="E218" s="10">
        <f t="shared" si="12"/>
        <v>85</v>
      </c>
      <c r="F218" s="10">
        <v>85</v>
      </c>
      <c r="G218" s="10" t="str">
        <f t="shared" si="13"/>
        <v>PASS</v>
      </c>
      <c r="H218" s="1" t="s">
        <v>269</v>
      </c>
    </row>
    <row r="219" spans="2:13" x14ac:dyDescent="0.2">
      <c r="B219" s="10">
        <v>8</v>
      </c>
      <c r="C219" s="1" t="s">
        <v>270</v>
      </c>
      <c r="D219" s="10" t="str" cm="1">
        <f t="array" ref="D219">_xlfn.LAMBDA(_xlpm.x,IFERROR(1/_xlpm.x,"Err"))(0)</f>
        <v>Err</v>
      </c>
      <c r="E219" s="10" t="str">
        <f t="shared" si="12"/>
        <v>Err</v>
      </c>
      <c r="F219" s="10" t="s">
        <v>271</v>
      </c>
      <c r="G219" s="10" t="str">
        <f t="shared" si="13"/>
        <v>PASS</v>
      </c>
      <c r="H219" s="1" t="s">
        <v>272</v>
      </c>
    </row>
    <row r="220" spans="2:13" x14ac:dyDescent="0.2">
      <c r="B220" s="10">
        <v>9</v>
      </c>
      <c r="C220" s="1" t="s">
        <v>273</v>
      </c>
      <c r="D220" s="10" cm="1">
        <f t="array" ref="D220">_xlfn.LAMBDA(_xlpm.x,_xlpm.x+1)(0)</f>
        <v>1</v>
      </c>
      <c r="E220" s="10">
        <f t="shared" si="12"/>
        <v>1</v>
      </c>
      <c r="F220" s="10">
        <v>1</v>
      </c>
      <c r="G220" s="10" t="str">
        <f t="shared" si="13"/>
        <v>PASS</v>
      </c>
      <c r="H220" s="1" t="s">
        <v>274</v>
      </c>
    </row>
    <row r="221" spans="2:13" x14ac:dyDescent="0.2">
      <c r="B221" s="10">
        <v>10</v>
      </c>
      <c r="C221" s="1" t="s">
        <v>275</v>
      </c>
      <c r="D221" s="10" cm="1">
        <f t="array" ref="D221">_xlfn.LAMBDA(_xlpm.x,ABS(_xlpm.x))(-42)</f>
        <v>42</v>
      </c>
      <c r="E221" s="10">
        <f t="shared" si="12"/>
        <v>42</v>
      </c>
      <c r="F221" s="10">
        <v>42</v>
      </c>
      <c r="G221" s="10" t="str">
        <f t="shared" si="13"/>
        <v>PASS</v>
      </c>
      <c r="H221" s="1" t="s">
        <v>276</v>
      </c>
    </row>
    <row r="222" spans="2:13" x14ac:dyDescent="0.2">
      <c r="B222" s="10">
        <v>11</v>
      </c>
      <c r="C222" s="1" t="s">
        <v>277</v>
      </c>
      <c r="D222" s="10" cm="1">
        <f t="array" ref="D222">_xlfn.LAMBDA(_xlpm.x,_xlfn.LET(_xlpm.doubled,_xlpm.x*2,_xlpm.doubled+1))(5)</f>
        <v>11</v>
      </c>
      <c r="E222" s="10">
        <f t="shared" si="12"/>
        <v>11</v>
      </c>
      <c r="F222" s="10">
        <v>11</v>
      </c>
      <c r="G222" s="10" t="str">
        <f t="shared" si="13"/>
        <v>PASS</v>
      </c>
      <c r="H222" s="1" t="s">
        <v>278</v>
      </c>
    </row>
    <row r="223" spans="2:13" x14ac:dyDescent="0.2">
      <c r="B223" s="10">
        <v>12</v>
      </c>
      <c r="C223" s="1" t="s">
        <v>279</v>
      </c>
      <c r="D223" s="10" cm="1">
        <f t="array" ref="D223">_xlfn.LAMBDA(42)()</f>
        <v>42</v>
      </c>
      <c r="E223" s="10">
        <f t="shared" si="12"/>
        <v>42</v>
      </c>
      <c r="F223" s="10">
        <v>42</v>
      </c>
      <c r="G223" s="10" t="str">
        <f t="shared" si="13"/>
        <v>PASS</v>
      </c>
      <c r="H223" s="1" t="s">
        <v>280</v>
      </c>
    </row>
    <row r="224" spans="2:13" x14ac:dyDescent="0.2">
      <c r="B224" s="10">
        <v>13</v>
      </c>
      <c r="C224" s="1" t="s">
        <v>281</v>
      </c>
      <c r="D224" s="10" t="b" cm="1">
        <f t="array" ref="D224">_xlfn.LAMBDA(_xlpm.x,_xlpm.x&gt;0)(5)</f>
        <v>1</v>
      </c>
      <c r="E224" s="10" t="b">
        <f t="shared" si="12"/>
        <v>1</v>
      </c>
      <c r="F224" s="10" t="b">
        <v>1</v>
      </c>
      <c r="G224" s="10" t="str">
        <f t="shared" si="13"/>
        <v>PASS</v>
      </c>
      <c r="H224" s="1" t="s">
        <v>282</v>
      </c>
    </row>
    <row r="225" spans="2:8" x14ac:dyDescent="0.2">
      <c r="B225" s="10">
        <v>14</v>
      </c>
      <c r="C225" s="1" t="s">
        <v>283</v>
      </c>
      <c r="D225" s="10" t="b" cm="1">
        <f t="array" ref="D225">_xlfn.LAMBDA(_xlpm.a,_xlpm.b,_xlpm.a&gt;_xlpm.b)(10,5)</f>
        <v>1</v>
      </c>
      <c r="E225" s="10" t="b">
        <f t="shared" si="12"/>
        <v>1</v>
      </c>
      <c r="F225" s="10" t="b">
        <v>1</v>
      </c>
      <c r="G225" s="10" t="str">
        <f t="shared" si="13"/>
        <v>PASS</v>
      </c>
      <c r="H225" s="1" t="s">
        <v>284</v>
      </c>
    </row>
    <row r="226" spans="2:8" x14ac:dyDescent="0.2">
      <c r="B226" s="10">
        <v>15</v>
      </c>
      <c r="C226" s="1" t="s">
        <v>285</v>
      </c>
      <c r="D226" s="10" cm="1">
        <f t="array" ref="D226">_xlfn.LAMBDA(_xlpm.x,_xlpm.x^2+2*_xlpm.x+1)(3)</f>
        <v>16</v>
      </c>
      <c r="E226" s="10">
        <f t="shared" si="12"/>
        <v>16</v>
      </c>
      <c r="F226" s="10">
        <v>16</v>
      </c>
      <c r="G226" s="10" t="str">
        <f t="shared" si="13"/>
        <v>PASS</v>
      </c>
      <c r="H226" s="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2026-02-09T23:14:34Z</dcterms:created>
  <dcterms:modified xsi:type="dcterms:W3CDTF">2026-02-16T19:55:26Z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92580d16-7e58-4429-8d3f-386d3f051444</vt:lpwstr>
  </property>
</Properties>
</file>